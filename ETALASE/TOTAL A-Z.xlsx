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3B00D7FA-0D2A-414A-9CB5-E82B3149892D}" xr6:coauthVersionLast="47" xr6:coauthVersionMax="47" xr10:uidLastSave="{00000000-0000-0000-0000-000000000000}"/>
  <bookViews>
    <workbookView xWindow="-108" yWindow="-108" windowWidth="23256" windowHeight="12456" xr2:uid="{9102ADBC-C9F4-4C0A-A45F-DBB3D7C29CC8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V39" i="1"/>
  <c r="AP23" i="1"/>
  <c r="AP20" i="1"/>
  <c r="AP17" i="1"/>
  <c r="AP14" i="1"/>
  <c r="AP11" i="1"/>
  <c r="AP8" i="1"/>
  <c r="AP5" i="1"/>
  <c r="AP2" i="1"/>
  <c r="W26" i="1"/>
  <c r="W23" i="1"/>
  <c r="W20" i="1"/>
  <c r="W17" i="1"/>
  <c r="W14" i="1"/>
  <c r="W11" i="1"/>
  <c r="W8" i="1"/>
  <c r="W5" i="1"/>
  <c r="W2" i="1"/>
  <c r="D26" i="1"/>
  <c r="D23" i="1"/>
  <c r="D20" i="1"/>
  <c r="D17" i="1"/>
  <c r="D14" i="1"/>
  <c r="D11" i="1"/>
  <c r="D8" i="1"/>
  <c r="D5" i="1"/>
  <c r="D2" i="1"/>
  <c r="D35" i="1" l="1"/>
  <c r="V36" i="1" s="1"/>
  <c r="D32" i="1"/>
  <c r="V33" i="1" s="1"/>
  <c r="D29" i="1" l="1"/>
  <c r="V30" i="1" s="1"/>
  <c r="O11" i="1" l="1"/>
  <c r="O8" i="1"/>
  <c r="O5" i="1"/>
  <c r="O2" i="1"/>
  <c r="AH31" i="1" l="1"/>
  <c r="BA26" i="1"/>
  <c r="BA23" i="1"/>
  <c r="BA20" i="1"/>
  <c r="BA17" i="1"/>
  <c r="BA14" i="1"/>
  <c r="BA11" i="1"/>
  <c r="BA8" i="1"/>
  <c r="BA5" i="1"/>
  <c r="BA2" i="1"/>
  <c r="AH26" i="1"/>
  <c r="AH23" i="1"/>
  <c r="AH20" i="1"/>
  <c r="AH17" i="1"/>
  <c r="AH14" i="1"/>
  <c r="AH11" i="1"/>
  <c r="AH8" i="1"/>
  <c r="AH5" i="1"/>
  <c r="AH2" i="1"/>
  <c r="O26" i="1"/>
  <c r="O23" i="1"/>
  <c r="O20" i="1"/>
  <c r="O17" i="1"/>
  <c r="O14" i="1"/>
  <c r="O35" i="1" l="1"/>
  <c r="O32" i="1"/>
  <c r="O29" i="1" l="1"/>
</calcChain>
</file>

<file path=xl/sharedStrings.xml><?xml version="1.0" encoding="utf-8"?>
<sst xmlns="http://schemas.openxmlformats.org/spreadsheetml/2006/main" count="119" uniqueCount="58">
  <si>
    <t>A</t>
  </si>
  <si>
    <t>jumlah</t>
  </si>
  <si>
    <t>B</t>
  </si>
  <si>
    <t>C</t>
  </si>
  <si>
    <t>D</t>
  </si>
  <si>
    <t>E</t>
  </si>
  <si>
    <t>F</t>
  </si>
  <si>
    <t>G</t>
  </si>
  <si>
    <t>H</t>
  </si>
  <si>
    <t>I</t>
  </si>
  <si>
    <t>JUMLAH</t>
  </si>
  <si>
    <t>JUMALH</t>
  </si>
  <si>
    <t>CINCIN 1</t>
  </si>
  <si>
    <t>CINCIN 2</t>
  </si>
  <si>
    <t>CINCIN 3</t>
  </si>
  <si>
    <t>ANTING</t>
  </si>
  <si>
    <t>KALUNG 1</t>
  </si>
  <si>
    <t>KALUNG 2</t>
  </si>
  <si>
    <t>LIONTIN &amp;</t>
  </si>
  <si>
    <t>GELANG</t>
  </si>
  <si>
    <t xml:space="preserve">GELANG </t>
  </si>
  <si>
    <t>J</t>
  </si>
  <si>
    <t>K</t>
  </si>
  <si>
    <t>L</t>
  </si>
  <si>
    <t>KALUNG2</t>
  </si>
  <si>
    <t>KALUNG3</t>
  </si>
  <si>
    <t>KALUNG1</t>
  </si>
  <si>
    <t>9K</t>
  </si>
  <si>
    <t>16K</t>
  </si>
  <si>
    <t>KALUNG 3 16K</t>
  </si>
  <si>
    <t>RANTAI 16K</t>
  </si>
  <si>
    <t>OVAL 16K</t>
  </si>
  <si>
    <t>8K</t>
  </si>
  <si>
    <t>CINCIN3</t>
  </si>
  <si>
    <t>M</t>
  </si>
  <si>
    <t>N</t>
  </si>
  <si>
    <t>P</t>
  </si>
  <si>
    <t>8K RT</t>
  </si>
  <si>
    <t>Q</t>
  </si>
  <si>
    <t xml:space="preserve">8K </t>
  </si>
  <si>
    <t>R</t>
  </si>
  <si>
    <t>T</t>
  </si>
  <si>
    <t>U</t>
  </si>
  <si>
    <t>V</t>
  </si>
  <si>
    <t>W</t>
  </si>
  <si>
    <t>X</t>
  </si>
  <si>
    <t>Y</t>
  </si>
  <si>
    <t>Z</t>
  </si>
  <si>
    <t>PL</t>
  </si>
  <si>
    <t>S</t>
  </si>
  <si>
    <t>TA 16K</t>
  </si>
  <si>
    <t>MD 8K</t>
  </si>
  <si>
    <t xml:space="preserve">TOTAL </t>
  </si>
  <si>
    <t>LEBUR</t>
  </si>
  <si>
    <t>LANTAK</t>
  </si>
  <si>
    <t>TL</t>
  </si>
  <si>
    <t>(a2)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</si>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</sst>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22"/>
      <name val="Calibri"/>
      <family val="2"/>
      <scheme val="minor"/>
    </font>
    <font>
      <sz val="11"/>
      <color rgb="FFFFFF00"/>
      <name val="Calibri"/>
      <family val="2"/>
      <scheme val="minor"/>
    </font>
    <font>
      <sz val="22"/>
      <color rgb="FFFFFF00"/>
      <name val="Calibri"/>
      <family val="2"/>
      <scheme val="minor"/>
    </font>
    <font>
      <sz val="21"/>
      <color rgb="FFFFFF00"/>
      <name val="Calibri"/>
      <family val="2"/>
      <scheme val="minor"/>
    </font>
    <font>
      <sz val="24"/>
      <color rgb="FFFFFF00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rgb="FFFFFF00"/>
      <name val="Calibri"/>
      <family val="2"/>
      <scheme val="minor"/>
    </font>
    <font>
      <sz val="30"/>
      <color rgb="FFFFFF00"/>
      <name val="Calibri"/>
      <family val="2"/>
      <scheme val="minor"/>
    </font>
    <font>
      <sz val="3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1" xfId="0" applyFill="1" applyBorder="1"/>
    <xf numFmtId="0" fontId="1" fillId="2" borderId="11" xfId="0" applyFont="1" applyFill="1" applyBorder="1"/>
    <xf numFmtId="0" fontId="1" fillId="0" borderId="0" xfId="0" applyFont="1"/>
    <xf numFmtId="0" fontId="1" fillId="5" borderId="1" xfId="0" applyFont="1" applyFill="1" applyBorder="1"/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/>
    <xf numFmtId="0" fontId="5" fillId="3" borderId="9" xfId="0" applyFont="1" applyFill="1" applyBorder="1"/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5" fillId="3" borderId="10" xfId="0" applyFont="1" applyFill="1" applyBorder="1"/>
    <xf numFmtId="0" fontId="5" fillId="3" borderId="0" xfId="0" applyFont="1" applyFill="1"/>
    <xf numFmtId="0" fontId="6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8" fillId="3" borderId="0" xfId="0" applyFont="1" applyFill="1"/>
    <xf numFmtId="0" fontId="8" fillId="3" borderId="1" xfId="0" applyFont="1" applyFill="1" applyBorder="1"/>
    <xf numFmtId="0" fontId="9" fillId="0" borderId="0" xfId="0" applyFont="1"/>
    <xf numFmtId="0" fontId="9" fillId="5" borderId="1" xfId="0" applyFont="1" applyFill="1" applyBorder="1"/>
    <xf numFmtId="0" fontId="10" fillId="3" borderId="1" xfId="0" applyFont="1" applyFill="1" applyBorder="1" applyAlignment="1">
      <alignment wrapText="1"/>
    </xf>
    <xf numFmtId="0" fontId="10" fillId="3" borderId="0" xfId="0" applyFont="1" applyFill="1"/>
    <xf numFmtId="0" fontId="10" fillId="3" borderId="1" xfId="0" applyFont="1" applyFill="1" applyBorder="1"/>
    <xf numFmtId="0" fontId="11" fillId="3" borderId="1" xfId="0" applyFont="1" applyFill="1" applyBorder="1" applyAlignment="1">
      <alignment wrapText="1"/>
    </xf>
    <xf numFmtId="0" fontId="11" fillId="3" borderId="0" xfId="0" applyFont="1" applyFill="1"/>
    <xf numFmtId="0" fontId="11" fillId="3" borderId="1" xfId="0" applyFont="1" applyFill="1" applyBorder="1"/>
    <xf numFmtId="0" fontId="12" fillId="0" borderId="0" xfId="0" applyFont="1"/>
    <xf numFmtId="0" fontId="12" fillId="5" borderId="1" xfId="0" applyFont="1" applyFill="1" applyBorder="1"/>
    <xf numFmtId="0" fontId="13" fillId="5" borderId="1" xfId="0" applyFont="1" applyFill="1" applyBorder="1"/>
    <xf numFmtId="0" fontId="13" fillId="0" borderId="0" xfId="0" applyFont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3B27"/>
      <color rgb="FFFF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1%20(A,B,C,D).xlsx" TargetMode="External"/><Relationship Id="rId1" Type="http://schemas.openxmlformats.org/officeDocument/2006/relationships/externalLinkPath" Target="Pembukuan%20NO1%20(A,B,C,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1%20(A,B,C,D)%20(1).xlsx" TargetMode="External"/><Relationship Id="rId1" Type="http://schemas.openxmlformats.org/officeDocument/2006/relationships/externalLinkPath" Target="Pembukuan%20NO1%20(A,B,C,D)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%203%20(I%20J%20K%20L)%20(1).xlsx" TargetMode="External"/><Relationship Id="rId1" Type="http://schemas.openxmlformats.org/officeDocument/2006/relationships/externalLinkPath" Target="PEMBUKUAN%20NO%203%20(I%20J%20K%20L)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5%20Q-R%20S%20T%20(1).xlsx" TargetMode="External"/><Relationship Id="rId1" Type="http://schemas.openxmlformats.org/officeDocument/2006/relationships/externalLinkPath" Target="PEMBUKUAN%205%20Q-R%20S%20T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%206%20(U%20V%20W)%20&amp;PL.xlsx" TargetMode="External"/><Relationship Id="rId1" Type="http://schemas.openxmlformats.org/officeDocument/2006/relationships/externalLinkPath" Target="PEMBUKUAN%20NO%206%20(U%20V%20W)%20&amp;P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%204%20(M%20N%200%20P)%20(1).xlsx" TargetMode="External"/><Relationship Id="rId1" Type="http://schemas.openxmlformats.org/officeDocument/2006/relationships/externalLinkPath" Target="PEMBUKUAN%20NO%204%20(M%20N%200%20P)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2%20(E,F,G,H)%20(1).xlsx" TargetMode="External"/><Relationship Id="rId1" Type="http://schemas.openxmlformats.org/officeDocument/2006/relationships/externalLinkPath" Target="PEMBUKUAN%20NO2%20(E,F,G,H)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ida\LAPORAN%20KEUANGAN\ETALASE\PEMBUKUAN%20NO%207%20(XYZ).xlsx" TargetMode="External"/><Relationship Id="rId1" Type="http://schemas.openxmlformats.org/officeDocument/2006/relationships/externalLinkPath" Target="PEMBUKUAN%20NO%207%20(XYZ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M1" t="str">
            <v>Cincin 16 K no 2 (B) LINGKAR TANGGUNG</v>
          </cell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2">
          <cell r="B2">
            <v>4310</v>
          </cell>
          <cell r="C2"/>
          <cell r="D2">
            <v>4810</v>
          </cell>
          <cell r="E2"/>
          <cell r="F2">
            <v>3070</v>
          </cell>
          <cell r="G2"/>
          <cell r="H2">
            <v>1950</v>
          </cell>
          <cell r="I2"/>
          <cell r="J2">
            <v>2460</v>
          </cell>
          <cell r="K2"/>
          <cell r="M2">
            <v>1680</v>
          </cell>
          <cell r="N2"/>
          <cell r="O2">
            <v>1640</v>
          </cell>
          <cell r="P2"/>
          <cell r="Q2">
            <v>1390</v>
          </cell>
          <cell r="R2"/>
          <cell r="S2">
            <v>1280</v>
          </cell>
          <cell r="T2"/>
          <cell r="U2">
            <v>1400</v>
          </cell>
          <cell r="V2"/>
          <cell r="W2">
            <v>1230</v>
          </cell>
          <cell r="X2"/>
          <cell r="Y2">
            <v>1050</v>
          </cell>
          <cell r="Z2"/>
        </row>
        <row r="3">
          <cell r="B3">
            <v>1420</v>
          </cell>
          <cell r="C3"/>
          <cell r="D3">
            <v>2940</v>
          </cell>
          <cell r="E3"/>
          <cell r="F3">
            <v>3190</v>
          </cell>
          <cell r="G3"/>
          <cell r="H3">
            <v>2300</v>
          </cell>
          <cell r="I3"/>
          <cell r="J3">
            <v>1880</v>
          </cell>
          <cell r="K3"/>
          <cell r="M3">
            <v>1420</v>
          </cell>
          <cell r="N3"/>
          <cell r="O3"/>
          <cell r="P3"/>
          <cell r="Q3"/>
          <cell r="R3">
            <v>1060</v>
          </cell>
          <cell r="S3"/>
          <cell r="T3"/>
          <cell r="U3"/>
          <cell r="V3"/>
          <cell r="W3">
            <v>1130</v>
          </cell>
          <cell r="X3"/>
          <cell r="Y3">
            <v>900</v>
          </cell>
          <cell r="Z3">
            <v>900</v>
          </cell>
        </row>
        <row r="4">
          <cell r="B4">
            <v>2100</v>
          </cell>
          <cell r="C4"/>
          <cell r="D4">
            <v>1940</v>
          </cell>
          <cell r="E4"/>
          <cell r="F4">
            <v>2370</v>
          </cell>
          <cell r="G4"/>
          <cell r="H4">
            <v>2520</v>
          </cell>
          <cell r="I4"/>
          <cell r="J4">
            <v>2360</v>
          </cell>
          <cell r="K4"/>
          <cell r="M4">
            <v>1300</v>
          </cell>
          <cell r="N4"/>
          <cell r="O4">
            <v>1170</v>
          </cell>
          <cell r="P4"/>
          <cell r="Q4">
            <v>1080</v>
          </cell>
          <cell r="R4"/>
          <cell r="S4">
            <v>1200</v>
          </cell>
          <cell r="T4"/>
          <cell r="U4"/>
          <cell r="V4"/>
          <cell r="W4">
            <v>1260</v>
          </cell>
          <cell r="X4">
            <v>800</v>
          </cell>
          <cell r="Y4">
            <v>870</v>
          </cell>
          <cell r="Z4">
            <v>650</v>
          </cell>
        </row>
        <row r="5">
          <cell r="B5">
            <v>2170</v>
          </cell>
          <cell r="C5"/>
          <cell r="D5">
            <v>2730</v>
          </cell>
          <cell r="E5"/>
          <cell r="F5">
            <v>1960</v>
          </cell>
          <cell r="G5"/>
          <cell r="H5">
            <v>2750</v>
          </cell>
          <cell r="I5"/>
          <cell r="J5">
            <v>3640</v>
          </cell>
          <cell r="K5"/>
          <cell r="M5">
            <v>760</v>
          </cell>
          <cell r="N5"/>
          <cell r="O5">
            <v>900</v>
          </cell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</row>
        <row r="6">
          <cell r="B6" t="str">
            <v xml:space="preserve">2 RING </v>
          </cell>
          <cell r="C6"/>
          <cell r="D6"/>
          <cell r="E6"/>
          <cell r="F6"/>
          <cell r="G6"/>
          <cell r="H6"/>
          <cell r="I6"/>
          <cell r="J6"/>
          <cell r="K6"/>
          <cell r="M6">
            <v>2</v>
          </cell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</row>
        <row r="7">
          <cell r="B7">
            <v>2520</v>
          </cell>
          <cell r="C7"/>
          <cell r="D7">
            <v>3900</v>
          </cell>
          <cell r="E7"/>
          <cell r="F7">
            <v>2740</v>
          </cell>
          <cell r="G7"/>
          <cell r="H7">
            <v>2750</v>
          </cell>
          <cell r="I7"/>
          <cell r="J7">
            <v>3450</v>
          </cell>
          <cell r="K7"/>
          <cell r="M7">
            <v>1360</v>
          </cell>
          <cell r="N7"/>
          <cell r="O7">
            <v>2340</v>
          </cell>
          <cell r="P7"/>
          <cell r="Q7">
            <v>2620</v>
          </cell>
          <cell r="R7"/>
          <cell r="S7">
            <v>2410</v>
          </cell>
          <cell r="T7"/>
          <cell r="U7">
            <v>2220</v>
          </cell>
          <cell r="V7"/>
          <cell r="W7">
            <v>2390</v>
          </cell>
          <cell r="X7"/>
          <cell r="Y7">
            <v>2460</v>
          </cell>
          <cell r="Z7">
            <v>2580</v>
          </cell>
        </row>
        <row r="8">
          <cell r="B8">
            <v>3100</v>
          </cell>
          <cell r="C8"/>
          <cell r="D8">
            <v>2370</v>
          </cell>
          <cell r="E8"/>
          <cell r="F8">
            <v>3540</v>
          </cell>
          <cell r="G8"/>
          <cell r="H8">
            <v>2770</v>
          </cell>
          <cell r="I8"/>
          <cell r="J8">
            <v>2950</v>
          </cell>
          <cell r="K8"/>
          <cell r="M8">
            <v>2330</v>
          </cell>
          <cell r="N8"/>
          <cell r="O8">
            <v>2570</v>
          </cell>
          <cell r="P8"/>
          <cell r="Q8">
            <v>2320</v>
          </cell>
          <cell r="R8"/>
          <cell r="S8">
            <v>2400</v>
          </cell>
          <cell r="T8"/>
          <cell r="U8">
            <v>2390</v>
          </cell>
          <cell r="V8"/>
          <cell r="W8">
            <v>2320</v>
          </cell>
          <cell r="X8"/>
          <cell r="Y8"/>
          <cell r="Z8"/>
        </row>
        <row r="9">
          <cell r="B9">
            <v>3020</v>
          </cell>
          <cell r="C9"/>
          <cell r="D9">
            <v>2750</v>
          </cell>
          <cell r="E9"/>
          <cell r="F9">
            <v>2870</v>
          </cell>
          <cell r="G9"/>
          <cell r="H9">
            <v>2530</v>
          </cell>
          <cell r="I9"/>
          <cell r="J9">
            <v>2790</v>
          </cell>
          <cell r="K9"/>
          <cell r="M9">
            <v>2150</v>
          </cell>
          <cell r="N9"/>
          <cell r="O9">
            <v>2150</v>
          </cell>
          <cell r="P9"/>
          <cell r="Q9"/>
          <cell r="R9"/>
          <cell r="S9">
            <v>2210</v>
          </cell>
          <cell r="T9"/>
          <cell r="U9">
            <v>2950</v>
          </cell>
          <cell r="V9"/>
          <cell r="W9">
            <v>3660</v>
          </cell>
          <cell r="X9"/>
          <cell r="Y9">
            <v>3600</v>
          </cell>
          <cell r="Z9"/>
        </row>
        <row r="10">
          <cell r="B10">
            <v>4680</v>
          </cell>
          <cell r="C10"/>
          <cell r="D10">
            <v>3000</v>
          </cell>
          <cell r="E10"/>
          <cell r="F10">
            <v>3030</v>
          </cell>
          <cell r="G10"/>
          <cell r="H10">
            <v>2150</v>
          </cell>
          <cell r="I10"/>
          <cell r="J10">
            <v>2040</v>
          </cell>
          <cell r="K10"/>
          <cell r="M10" t="str">
            <v xml:space="preserve"> </v>
          </cell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</row>
        <row r="11">
          <cell r="B11" t="str">
            <v>3 RING POLOS 1/2 RANTAI</v>
          </cell>
          <cell r="C11"/>
          <cell r="D11"/>
          <cell r="E11"/>
          <cell r="F11"/>
          <cell r="G11"/>
          <cell r="H11"/>
          <cell r="I11"/>
          <cell r="J11"/>
          <cell r="K11"/>
          <cell r="M11">
            <v>2220</v>
          </cell>
          <cell r="N11"/>
          <cell r="O11">
            <v>2570</v>
          </cell>
          <cell r="P11"/>
          <cell r="Q11">
            <v>2220</v>
          </cell>
          <cell r="R11"/>
          <cell r="S11">
            <v>2050</v>
          </cell>
          <cell r="T11"/>
          <cell r="U11">
            <v>2480</v>
          </cell>
          <cell r="V11"/>
          <cell r="W11">
            <v>2250</v>
          </cell>
          <cell r="X11"/>
          <cell r="Y11">
            <v>2790</v>
          </cell>
          <cell r="Z11"/>
        </row>
        <row r="12">
          <cell r="B12">
            <v>2850</v>
          </cell>
          <cell r="C12"/>
          <cell r="D12">
            <v>2480</v>
          </cell>
          <cell r="E12"/>
          <cell r="F12">
            <v>2560</v>
          </cell>
          <cell r="G12"/>
          <cell r="H12">
            <v>2580</v>
          </cell>
          <cell r="I12"/>
          <cell r="J12">
            <v>2350</v>
          </cell>
          <cell r="K12"/>
          <cell r="M12">
            <v>2570</v>
          </cell>
          <cell r="N12"/>
          <cell r="O12">
            <v>2270</v>
          </cell>
          <cell r="P12"/>
          <cell r="Q12">
            <v>2200</v>
          </cell>
          <cell r="R12"/>
          <cell r="S12">
            <v>1990</v>
          </cell>
          <cell r="T12"/>
          <cell r="U12">
            <v>2280</v>
          </cell>
          <cell r="V12"/>
          <cell r="W12">
            <v>2020</v>
          </cell>
          <cell r="X12">
            <v>2080</v>
          </cell>
          <cell r="Y12">
            <v>1990</v>
          </cell>
          <cell r="Z12"/>
        </row>
        <row r="13">
          <cell r="B13">
            <v>2870</v>
          </cell>
          <cell r="C13"/>
          <cell r="D13">
            <v>2300</v>
          </cell>
          <cell r="E13"/>
          <cell r="F13">
            <v>2440</v>
          </cell>
          <cell r="G13"/>
          <cell r="H13">
            <v>2280</v>
          </cell>
          <cell r="I13"/>
          <cell r="J13">
            <v>2040</v>
          </cell>
          <cell r="K13"/>
          <cell r="M13">
            <v>2140</v>
          </cell>
          <cell r="N13"/>
          <cell r="O13">
            <v>2200</v>
          </cell>
          <cell r="P13"/>
          <cell r="Q13">
            <v>2210</v>
          </cell>
          <cell r="R13"/>
          <cell r="S13">
            <v>2200</v>
          </cell>
          <cell r="T13"/>
          <cell r="U13">
            <v>2340</v>
          </cell>
          <cell r="V13"/>
          <cell r="W13">
            <v>2190</v>
          </cell>
          <cell r="X13"/>
          <cell r="Y13"/>
          <cell r="Z13"/>
        </row>
        <row r="14">
          <cell r="B14">
            <v>2180</v>
          </cell>
          <cell r="C14"/>
          <cell r="D14">
            <v>2430</v>
          </cell>
          <cell r="E14"/>
          <cell r="F14">
            <v>2390</v>
          </cell>
          <cell r="G14"/>
          <cell r="H14">
            <v>2620</v>
          </cell>
          <cell r="I14"/>
          <cell r="J14">
            <v>2320</v>
          </cell>
          <cell r="K14">
            <v>2370</v>
          </cell>
          <cell r="M14">
            <v>4</v>
          </cell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</row>
        <row r="15">
          <cell r="B15"/>
          <cell r="C15"/>
          <cell r="D15">
            <v>2130</v>
          </cell>
          <cell r="E15"/>
          <cell r="F15">
            <v>2630</v>
          </cell>
          <cell r="G15"/>
          <cell r="H15">
            <v>1560</v>
          </cell>
          <cell r="I15"/>
          <cell r="J15">
            <v>1750</v>
          </cell>
          <cell r="K15"/>
          <cell r="M15">
            <v>2050</v>
          </cell>
          <cell r="O15">
            <v>2000</v>
          </cell>
          <cell r="P15"/>
          <cell r="Q15">
            <v>1850</v>
          </cell>
          <cell r="R15"/>
          <cell r="S15">
            <v>1850</v>
          </cell>
          <cell r="T15"/>
          <cell r="U15">
            <v>1940</v>
          </cell>
          <cell r="V15"/>
          <cell r="W15">
            <v>1920</v>
          </cell>
          <cell r="X15"/>
          <cell r="Y15">
            <v>1820</v>
          </cell>
          <cell r="Z15"/>
        </row>
        <row r="16">
          <cell r="B16" t="str">
            <v>4 WALO</v>
          </cell>
          <cell r="C16"/>
          <cell r="D16"/>
          <cell r="E16"/>
          <cell r="F16"/>
          <cell r="G16"/>
          <cell r="H16"/>
          <cell r="I16"/>
          <cell r="J16"/>
          <cell r="K16"/>
          <cell r="M16">
            <v>1960</v>
          </cell>
          <cell r="N16"/>
          <cell r="O16">
            <v>1920</v>
          </cell>
          <cell r="P16"/>
          <cell r="Q16">
            <v>1880</v>
          </cell>
          <cell r="R16"/>
          <cell r="S16">
            <v>2010</v>
          </cell>
          <cell r="T16"/>
          <cell r="U16">
            <v>1900</v>
          </cell>
          <cell r="V16"/>
          <cell r="W16">
            <v>1890</v>
          </cell>
          <cell r="X16"/>
          <cell r="Y16">
            <v>1890</v>
          </cell>
          <cell r="Z16"/>
        </row>
        <row r="17">
          <cell r="B17">
            <v>2590</v>
          </cell>
          <cell r="C17"/>
          <cell r="D17">
            <v>1370</v>
          </cell>
          <cell r="E17"/>
          <cell r="F17">
            <v>1390</v>
          </cell>
          <cell r="G17"/>
          <cell r="H17">
            <v>1430</v>
          </cell>
          <cell r="I17"/>
          <cell r="J17">
            <v>1440</v>
          </cell>
          <cell r="K17"/>
          <cell r="M17">
            <v>1950</v>
          </cell>
          <cell r="N17"/>
          <cell r="O17">
            <v>1950</v>
          </cell>
          <cell r="P17"/>
          <cell r="Q17">
            <v>1810</v>
          </cell>
          <cell r="R17"/>
          <cell r="S17">
            <v>1980</v>
          </cell>
          <cell r="T17"/>
          <cell r="U17">
            <v>2030</v>
          </cell>
          <cell r="V17"/>
          <cell r="W17">
            <v>1920</v>
          </cell>
          <cell r="X17"/>
          <cell r="Y17">
            <v>1970</v>
          </cell>
          <cell r="Z17"/>
        </row>
        <row r="18">
          <cell r="B18">
            <v>1450</v>
          </cell>
          <cell r="C18"/>
          <cell r="D18">
            <v>1510</v>
          </cell>
          <cell r="E18"/>
          <cell r="F18">
            <v>1540</v>
          </cell>
          <cell r="G18"/>
          <cell r="H18">
            <v>1690</v>
          </cell>
          <cell r="I18"/>
          <cell r="J18">
            <v>1730</v>
          </cell>
          <cell r="K18"/>
          <cell r="M18">
            <v>5</v>
          </cell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</row>
        <row r="19">
          <cell r="B19">
            <v>1830</v>
          </cell>
          <cell r="C19"/>
          <cell r="D19">
            <v>1850</v>
          </cell>
          <cell r="E19"/>
          <cell r="F19">
            <v>2360</v>
          </cell>
          <cell r="G19"/>
          <cell r="H19">
            <v>1800</v>
          </cell>
          <cell r="I19"/>
          <cell r="J19">
            <v>2050</v>
          </cell>
          <cell r="K19"/>
          <cell r="M19">
            <v>2170</v>
          </cell>
          <cell r="N19">
            <v>2000</v>
          </cell>
          <cell r="O19">
            <v>1940</v>
          </cell>
          <cell r="P19">
            <v>2070</v>
          </cell>
          <cell r="Q19">
            <v>1850</v>
          </cell>
          <cell r="R19"/>
          <cell r="S19">
            <v>1520</v>
          </cell>
          <cell r="T19"/>
          <cell r="U19">
            <v>1700</v>
          </cell>
          <cell r="V19"/>
          <cell r="W19">
            <v>1620</v>
          </cell>
          <cell r="X19"/>
          <cell r="Y19">
            <v>1730</v>
          </cell>
          <cell r="Z19"/>
        </row>
        <row r="20">
          <cell r="B20">
            <v>1960</v>
          </cell>
          <cell r="C20"/>
          <cell r="D20">
            <v>1810</v>
          </cell>
          <cell r="E20"/>
          <cell r="F20">
            <v>1940</v>
          </cell>
          <cell r="G20"/>
          <cell r="H20">
            <v>2430</v>
          </cell>
          <cell r="I20"/>
          <cell r="J20">
            <v>1810</v>
          </cell>
          <cell r="K20"/>
          <cell r="M20">
            <v>1780</v>
          </cell>
          <cell r="N20"/>
          <cell r="O20">
            <v>1990</v>
          </cell>
          <cell r="P20"/>
          <cell r="Q20"/>
          <cell r="R20"/>
          <cell r="S20">
            <v>1720</v>
          </cell>
          <cell r="T20"/>
          <cell r="U20"/>
          <cell r="V20"/>
          <cell r="W20">
            <v>1790</v>
          </cell>
          <cell r="X20"/>
          <cell r="Y20">
            <v>1750</v>
          </cell>
          <cell r="Z20"/>
        </row>
        <row r="21">
          <cell r="B21" t="str">
            <v>5 BANGKOK ,MP 1,MODEL</v>
          </cell>
          <cell r="C21"/>
          <cell r="D21"/>
          <cell r="E21"/>
          <cell r="F21"/>
          <cell r="G21"/>
          <cell r="H21"/>
          <cell r="I21"/>
          <cell r="J21"/>
          <cell r="K21"/>
          <cell r="M21">
            <v>1860</v>
          </cell>
          <cell r="N21"/>
          <cell r="O21"/>
          <cell r="P21">
            <v>1890</v>
          </cell>
          <cell r="Q21"/>
          <cell r="R21"/>
          <cell r="S21">
            <v>1790</v>
          </cell>
          <cell r="T21"/>
          <cell r="U21"/>
          <cell r="V21"/>
          <cell r="W21">
            <v>1740</v>
          </cell>
          <cell r="X21"/>
          <cell r="Y21">
            <v>1770</v>
          </cell>
          <cell r="Z21">
            <v>1770</v>
          </cell>
        </row>
        <row r="22">
          <cell r="B22">
            <v>2140</v>
          </cell>
          <cell r="D22">
            <v>2000</v>
          </cell>
          <cell r="E22"/>
          <cell r="F22">
            <v>1940</v>
          </cell>
          <cell r="G22"/>
          <cell r="H22">
            <v>1910</v>
          </cell>
          <cell r="I22"/>
          <cell r="J22">
            <v>1910</v>
          </cell>
          <cell r="K22"/>
          <cell r="M22">
            <v>6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</row>
        <row r="23">
          <cell r="B23">
            <v>1790</v>
          </cell>
          <cell r="C23"/>
          <cell r="D23">
            <v>1710</v>
          </cell>
          <cell r="E23"/>
          <cell r="F23">
            <v>1710</v>
          </cell>
          <cell r="G23"/>
          <cell r="H23">
            <v>1930</v>
          </cell>
          <cell r="I23"/>
          <cell r="J23">
            <v>2130</v>
          </cell>
          <cell r="K23"/>
          <cell r="M23">
            <v>1140</v>
          </cell>
          <cell r="N23"/>
          <cell r="O23"/>
          <cell r="P23"/>
          <cell r="Q23">
            <v>1750</v>
          </cell>
          <cell r="R23"/>
          <cell r="S23" t="str">
            <v xml:space="preserve">             </v>
          </cell>
          <cell r="T23"/>
          <cell r="U23">
            <v>1760</v>
          </cell>
          <cell r="V23"/>
          <cell r="W23">
            <v>1720</v>
          </cell>
          <cell r="X23"/>
          <cell r="Y23">
            <v>1710</v>
          </cell>
          <cell r="Z23"/>
        </row>
        <row r="24">
          <cell r="B24">
            <v>1850</v>
          </cell>
          <cell r="C24"/>
          <cell r="D24">
            <v>1940</v>
          </cell>
          <cell r="E24"/>
          <cell r="F24">
            <v>1750</v>
          </cell>
          <cell r="G24"/>
          <cell r="H24">
            <v>1980</v>
          </cell>
          <cell r="I24"/>
          <cell r="J24">
            <v>2020</v>
          </cell>
          <cell r="K24"/>
          <cell r="M24">
            <v>1680</v>
          </cell>
          <cell r="N24"/>
          <cell r="O24">
            <v>1680</v>
          </cell>
          <cell r="P24"/>
          <cell r="Q24">
            <v>1670</v>
          </cell>
          <cell r="R24"/>
          <cell r="S24">
            <v>1670</v>
          </cell>
          <cell r="T24"/>
          <cell r="U24">
            <v>1660</v>
          </cell>
          <cell r="V24"/>
          <cell r="W24">
            <v>1660</v>
          </cell>
          <cell r="X24"/>
          <cell r="Y24">
            <v>1620</v>
          </cell>
          <cell r="Z24"/>
        </row>
        <row r="25">
          <cell r="B25">
            <v>2170</v>
          </cell>
          <cell r="C25"/>
          <cell r="D25">
            <v>1170</v>
          </cell>
          <cell r="E25"/>
          <cell r="F25">
            <v>950</v>
          </cell>
          <cell r="G25"/>
          <cell r="H25">
            <v>1270</v>
          </cell>
          <cell r="I25"/>
          <cell r="J25">
            <v>1270</v>
          </cell>
          <cell r="K25"/>
          <cell r="M25"/>
          <cell r="N25"/>
          <cell r="O25">
            <v>1590</v>
          </cell>
          <cell r="P25"/>
          <cell r="Q25">
            <v>1590</v>
          </cell>
          <cell r="R25"/>
          <cell r="S25">
            <v>1570</v>
          </cell>
          <cell r="T25"/>
          <cell r="U25">
            <v>1560</v>
          </cell>
          <cell r="V25"/>
          <cell r="W25">
            <v>1560</v>
          </cell>
          <cell r="X25"/>
          <cell r="Y25">
            <v>1530</v>
          </cell>
          <cell r="Z25">
            <v>1430</v>
          </cell>
        </row>
        <row r="26">
          <cell r="B26" t="str">
            <v>6 MODEL, BANGKOK</v>
          </cell>
          <cell r="C26"/>
          <cell r="D26"/>
          <cell r="E26"/>
          <cell r="F26"/>
          <cell r="G26"/>
          <cell r="H26"/>
          <cell r="I26"/>
          <cell r="J26"/>
          <cell r="K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</row>
        <row r="27">
          <cell r="B27">
            <v>2370</v>
          </cell>
          <cell r="C27"/>
          <cell r="D27">
            <v>2190</v>
          </cell>
          <cell r="E27"/>
          <cell r="F27"/>
          <cell r="G27"/>
          <cell r="H27"/>
          <cell r="I27"/>
          <cell r="J27">
            <v>1620</v>
          </cell>
          <cell r="K27"/>
          <cell r="M27">
            <v>7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</row>
        <row r="28">
          <cell r="B28">
            <v>1320</v>
          </cell>
          <cell r="C28"/>
          <cell r="D28">
            <v>1540</v>
          </cell>
          <cell r="E28"/>
          <cell r="F28">
            <v>940</v>
          </cell>
          <cell r="G28"/>
          <cell r="H28">
            <v>1240</v>
          </cell>
          <cell r="I28"/>
          <cell r="J28"/>
          <cell r="K28"/>
          <cell r="M28"/>
          <cell r="N28"/>
          <cell r="O28">
            <v>1620</v>
          </cell>
          <cell r="P28"/>
          <cell r="Q28">
            <v>1610</v>
          </cell>
          <cell r="R28"/>
          <cell r="S28">
            <v>1600</v>
          </cell>
          <cell r="T28"/>
          <cell r="U28">
            <v>1590</v>
          </cell>
          <cell r="V28"/>
          <cell r="W28">
            <v>1590</v>
          </cell>
          <cell r="X28"/>
          <cell r="Y28">
            <v>1570</v>
          </cell>
          <cell r="Z28"/>
        </row>
        <row r="29">
          <cell r="B29">
            <v>1440</v>
          </cell>
          <cell r="C29"/>
          <cell r="D29">
            <v>1580</v>
          </cell>
          <cell r="E29"/>
          <cell r="F29">
            <v>1440</v>
          </cell>
          <cell r="G29"/>
          <cell r="H29">
            <v>1290</v>
          </cell>
          <cell r="I29"/>
          <cell r="J29">
            <v>1250</v>
          </cell>
          <cell r="K29"/>
          <cell r="M29">
            <v>1570</v>
          </cell>
          <cell r="N29"/>
          <cell r="O29">
            <v>1520</v>
          </cell>
          <cell r="P29"/>
          <cell r="Q29">
            <v>1520</v>
          </cell>
          <cell r="R29"/>
          <cell r="S29">
            <v>1500</v>
          </cell>
          <cell r="T29"/>
          <cell r="U29">
            <v>1480</v>
          </cell>
          <cell r="V29"/>
          <cell r="W29">
            <v>1480</v>
          </cell>
          <cell r="X29"/>
          <cell r="Y29">
            <v>1480</v>
          </cell>
          <cell r="Z29"/>
        </row>
        <row r="30">
          <cell r="B30">
            <v>1230</v>
          </cell>
          <cell r="C30"/>
          <cell r="D30">
            <v>1200</v>
          </cell>
          <cell r="E30"/>
          <cell r="F30">
            <v>1130</v>
          </cell>
          <cell r="G30">
            <v>1100</v>
          </cell>
          <cell r="H30">
            <v>980</v>
          </cell>
          <cell r="I30">
            <v>970</v>
          </cell>
          <cell r="J30">
            <v>960</v>
          </cell>
          <cell r="K30">
            <v>870</v>
          </cell>
          <cell r="M30">
            <v>1470</v>
          </cell>
          <cell r="N30"/>
          <cell r="O30">
            <v>1470</v>
          </cell>
          <cell r="P30"/>
          <cell r="Q30">
            <v>1450</v>
          </cell>
          <cell r="R30"/>
          <cell r="S30">
            <v>1440</v>
          </cell>
          <cell r="T30"/>
          <cell r="U30">
            <v>1430</v>
          </cell>
          <cell r="V30"/>
          <cell r="W30">
            <v>1420</v>
          </cell>
          <cell r="X30"/>
          <cell r="Y30">
            <v>1410</v>
          </cell>
          <cell r="Z30">
            <v>1390</v>
          </cell>
        </row>
        <row r="31">
          <cell r="B31" t="str">
            <v>7 ANAK</v>
          </cell>
          <cell r="C31"/>
          <cell r="D31"/>
          <cell r="E31"/>
          <cell r="F31"/>
          <cell r="G31"/>
          <cell r="H31"/>
          <cell r="I31"/>
          <cell r="J31"/>
          <cell r="K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</row>
        <row r="32">
          <cell r="B32">
            <v>1130</v>
          </cell>
          <cell r="C32"/>
          <cell r="D32">
            <v>930</v>
          </cell>
          <cell r="E32"/>
          <cell r="F32">
            <v>1110</v>
          </cell>
          <cell r="G32"/>
          <cell r="H32">
            <v>1130</v>
          </cell>
          <cell r="I32"/>
          <cell r="J32">
            <v>1140</v>
          </cell>
          <cell r="K32"/>
          <cell r="M32">
            <v>8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</row>
        <row r="33">
          <cell r="B33">
            <v>1200</v>
          </cell>
          <cell r="C33"/>
          <cell r="D33">
            <v>1130</v>
          </cell>
          <cell r="E33"/>
          <cell r="F33">
            <v>1290</v>
          </cell>
          <cell r="G33"/>
          <cell r="H33">
            <v>1070</v>
          </cell>
          <cell r="I33"/>
          <cell r="J33"/>
          <cell r="K33"/>
          <cell r="M33">
            <v>990</v>
          </cell>
          <cell r="N33"/>
          <cell r="O33">
            <v>1830</v>
          </cell>
          <cell r="P33"/>
          <cell r="Q33" t="str">
            <v xml:space="preserve">  </v>
          </cell>
          <cell r="R33"/>
          <cell r="S33"/>
          <cell r="T33"/>
          <cell r="U33"/>
          <cell r="V33"/>
          <cell r="W33"/>
          <cell r="X33"/>
          <cell r="Y33"/>
          <cell r="Z33"/>
        </row>
        <row r="34">
          <cell r="B34"/>
          <cell r="C34"/>
          <cell r="D34">
            <v>880</v>
          </cell>
          <cell r="E34"/>
          <cell r="F34">
            <v>520</v>
          </cell>
          <cell r="G34"/>
          <cell r="H34">
            <v>560</v>
          </cell>
          <cell r="I34"/>
          <cell r="J34">
            <v>560</v>
          </cell>
          <cell r="K34"/>
          <cell r="M34"/>
          <cell r="N34"/>
          <cell r="O34"/>
          <cell r="P34"/>
          <cell r="Q34"/>
          <cell r="R34"/>
          <cell r="S34">
            <v>1380</v>
          </cell>
          <cell r="T34"/>
          <cell r="U34">
            <v>1370</v>
          </cell>
          <cell r="V34"/>
          <cell r="W34">
            <v>1360</v>
          </cell>
          <cell r="X34"/>
          <cell r="Y34">
            <v>1350</v>
          </cell>
          <cell r="Z34"/>
        </row>
        <row r="35">
          <cell r="B35">
            <v>560</v>
          </cell>
          <cell r="C35"/>
          <cell r="D35">
            <v>530</v>
          </cell>
          <cell r="E35"/>
          <cell r="F35"/>
          <cell r="G35"/>
          <cell r="H35">
            <v>450</v>
          </cell>
          <cell r="J35">
            <v>470</v>
          </cell>
          <cell r="K35">
            <v>450</v>
          </cell>
          <cell r="M35">
            <v>1340</v>
          </cell>
          <cell r="N35"/>
          <cell r="O35">
            <v>1320</v>
          </cell>
          <cell r="P35"/>
          <cell r="Q35">
            <v>1280</v>
          </cell>
          <cell r="R35"/>
          <cell r="S35">
            <v>1250</v>
          </cell>
          <cell r="T35"/>
          <cell r="U35">
            <v>1230</v>
          </cell>
          <cell r="V35"/>
          <cell r="W35">
            <v>1190</v>
          </cell>
          <cell r="X35"/>
          <cell r="Y35">
            <v>1180</v>
          </cell>
          <cell r="Z35">
            <v>1150</v>
          </cell>
        </row>
        <row r="36">
          <cell r="B36">
            <v>600</v>
          </cell>
          <cell r="C36">
            <v>970</v>
          </cell>
          <cell r="D36">
            <v>1070</v>
          </cell>
          <cell r="E36"/>
          <cell r="F36"/>
          <cell r="G36"/>
          <cell r="H36">
            <v>1020</v>
          </cell>
          <cell r="I36"/>
          <cell r="J36"/>
          <cell r="K36"/>
          <cell r="M36">
            <v>1100</v>
          </cell>
          <cell r="N36"/>
          <cell r="O36">
            <v>1080</v>
          </cell>
          <cell r="P36"/>
          <cell r="Q36" t="str">
            <v xml:space="preserve">   </v>
          </cell>
          <cell r="R36"/>
          <cell r="S36">
            <v>1050</v>
          </cell>
          <cell r="T36"/>
          <cell r="U36">
            <v>1020</v>
          </cell>
          <cell r="V36"/>
          <cell r="W36">
            <v>1010</v>
          </cell>
          <cell r="X36"/>
          <cell r="Y36">
            <v>980</v>
          </cell>
          <cell r="Z36">
            <v>910</v>
          </cell>
        </row>
        <row r="42">
          <cell r="B42" t="str">
            <v>Cincin 16K no3© 1</v>
          </cell>
          <cell r="C42"/>
          <cell r="D42"/>
          <cell r="E42"/>
          <cell r="F42"/>
          <cell r="G42"/>
          <cell r="H42"/>
          <cell r="I42"/>
          <cell r="J42"/>
          <cell r="K42"/>
          <cell r="M42" t="str">
            <v>Anting 16K (D) 1 ENTER</v>
          </cell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</row>
        <row r="43">
          <cell r="B43">
            <v>4360</v>
          </cell>
          <cell r="C43"/>
          <cell r="D43">
            <v>4400</v>
          </cell>
          <cell r="E43"/>
          <cell r="F43">
            <v>2870</v>
          </cell>
          <cell r="G43"/>
          <cell r="H43">
            <v>5980</v>
          </cell>
          <cell r="I43"/>
          <cell r="J43">
            <v>4310</v>
          </cell>
          <cell r="K43"/>
          <cell r="M43">
            <v>2130</v>
          </cell>
          <cell r="N43">
            <v>1820</v>
          </cell>
          <cell r="O43">
            <v>1880</v>
          </cell>
          <cell r="P43"/>
          <cell r="Q43">
            <v>1690</v>
          </cell>
          <cell r="R43"/>
          <cell r="S43">
            <v>1540</v>
          </cell>
          <cell r="T43"/>
          <cell r="U43">
            <v>1470</v>
          </cell>
          <cell r="V43"/>
          <cell r="W43">
            <v>1470</v>
          </cell>
          <cell r="X43"/>
        </row>
        <row r="44">
          <cell r="B44">
            <v>4560</v>
          </cell>
          <cell r="C44"/>
          <cell r="D44">
            <v>4470</v>
          </cell>
          <cell r="E44"/>
          <cell r="F44">
            <v>4350</v>
          </cell>
          <cell r="G44"/>
          <cell r="H44">
            <v>3460</v>
          </cell>
          <cell r="I44"/>
          <cell r="J44">
            <v>4570</v>
          </cell>
          <cell r="K44"/>
          <cell r="M44">
            <v>1500</v>
          </cell>
          <cell r="N44"/>
          <cell r="O44">
            <v>1490</v>
          </cell>
          <cell r="P44"/>
          <cell r="Q44">
            <v>590</v>
          </cell>
          <cell r="R44"/>
          <cell r="S44">
            <v>810</v>
          </cell>
          <cell r="T44"/>
          <cell r="U44">
            <v>950</v>
          </cell>
          <cell r="V44"/>
          <cell r="W44">
            <v>960</v>
          </cell>
          <cell r="X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M45">
            <v>1060</v>
          </cell>
          <cell r="N45"/>
          <cell r="O45">
            <v>1060</v>
          </cell>
          <cell r="P45"/>
          <cell r="Q45">
            <v>1060</v>
          </cell>
          <cell r="R45"/>
          <cell r="S45">
            <v>1090</v>
          </cell>
          <cell r="T45"/>
          <cell r="U45">
            <v>1170</v>
          </cell>
          <cell r="V45"/>
          <cell r="W45">
            <v>1190</v>
          </cell>
          <cell r="X45"/>
        </row>
        <row r="46">
          <cell r="B46">
            <v>4250</v>
          </cell>
          <cell r="C46"/>
          <cell r="D46">
            <v>4880</v>
          </cell>
          <cell r="E46"/>
          <cell r="F46">
            <v>3120</v>
          </cell>
          <cell r="G46"/>
          <cell r="H46">
            <v>4180</v>
          </cell>
          <cell r="I46"/>
          <cell r="J46">
            <v>4070</v>
          </cell>
          <cell r="K46"/>
          <cell r="M46">
            <v>1250</v>
          </cell>
          <cell r="N46"/>
          <cell r="O46">
            <v>1750</v>
          </cell>
          <cell r="P46"/>
          <cell r="Q46">
            <v>1520</v>
          </cell>
          <cell r="R46"/>
          <cell r="S46">
            <v>1310</v>
          </cell>
          <cell r="T46"/>
          <cell r="U46">
            <v>1320</v>
          </cell>
          <cell r="V46"/>
          <cell r="W46">
            <v>1380</v>
          </cell>
          <cell r="X46"/>
        </row>
        <row r="47">
          <cell r="B47">
            <v>4060</v>
          </cell>
          <cell r="C47"/>
          <cell r="D47">
            <v>4030</v>
          </cell>
          <cell r="E47"/>
          <cell r="F47">
            <v>3860</v>
          </cell>
          <cell r="G47"/>
          <cell r="H47">
            <v>3580</v>
          </cell>
          <cell r="I47"/>
          <cell r="J47"/>
          <cell r="K47"/>
          <cell r="M47">
            <v>1440</v>
          </cell>
          <cell r="N47"/>
          <cell r="O47">
            <v>1470</v>
          </cell>
          <cell r="P47"/>
          <cell r="Q47">
            <v>1470</v>
          </cell>
          <cell r="R47"/>
          <cell r="S47">
            <v>1530</v>
          </cell>
          <cell r="T47"/>
          <cell r="U47">
            <v>1570</v>
          </cell>
          <cell r="V47"/>
          <cell r="W47">
            <v>1580</v>
          </cell>
          <cell r="X47"/>
        </row>
        <row r="48">
          <cell r="B48">
            <v>2</v>
          </cell>
          <cell r="C48"/>
          <cell r="D48"/>
          <cell r="E48"/>
          <cell r="F48"/>
          <cell r="G48"/>
          <cell r="H48"/>
          <cell r="I48"/>
          <cell r="J48"/>
          <cell r="K48"/>
          <cell r="M48">
            <v>1670</v>
          </cell>
          <cell r="N48"/>
          <cell r="O48">
            <v>1910</v>
          </cell>
          <cell r="P48"/>
          <cell r="Q48">
            <v>1610</v>
          </cell>
          <cell r="R48"/>
          <cell r="S48">
            <v>2010</v>
          </cell>
          <cell r="T48"/>
          <cell r="U48">
            <v>2240</v>
          </cell>
          <cell r="V48"/>
          <cell r="W48">
            <v>1440</v>
          </cell>
          <cell r="X48"/>
        </row>
        <row r="49">
          <cell r="B49">
            <v>3770</v>
          </cell>
          <cell r="C49"/>
          <cell r="D49">
            <v>3640</v>
          </cell>
          <cell r="E49"/>
          <cell r="F49">
            <v>3360</v>
          </cell>
          <cell r="G49"/>
          <cell r="H49">
            <v>3690</v>
          </cell>
          <cell r="I49"/>
          <cell r="J49">
            <v>3470</v>
          </cell>
          <cell r="K49"/>
          <cell r="M49" t="str">
            <v>2 ENTER DEWI KLIP</v>
          </cell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</row>
        <row r="50">
          <cell r="B50">
            <v>3670</v>
          </cell>
          <cell r="C50"/>
          <cell r="D50">
            <v>3800</v>
          </cell>
          <cell r="E50"/>
          <cell r="F50">
            <v>3520</v>
          </cell>
          <cell r="G50"/>
          <cell r="H50">
            <v>3500</v>
          </cell>
          <cell r="I50"/>
          <cell r="J50">
            <v>3050</v>
          </cell>
          <cell r="K50"/>
          <cell r="M50">
            <v>1340</v>
          </cell>
          <cell r="N50"/>
          <cell r="O50">
            <v>1320</v>
          </cell>
          <cell r="P50"/>
          <cell r="Q50">
            <v>1310</v>
          </cell>
          <cell r="R50"/>
          <cell r="S50">
            <v>1310</v>
          </cell>
          <cell r="T50"/>
          <cell r="U50">
            <v>1210</v>
          </cell>
          <cell r="V50"/>
          <cell r="W50">
            <v>1160</v>
          </cell>
          <cell r="X50"/>
        </row>
        <row r="51"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M51">
            <v>1150</v>
          </cell>
          <cell r="N51"/>
          <cell r="O51">
            <v>1830</v>
          </cell>
          <cell r="P51"/>
          <cell r="Q51">
            <v>1040</v>
          </cell>
          <cell r="R51">
            <v>890</v>
          </cell>
          <cell r="S51">
            <v>840</v>
          </cell>
          <cell r="T51"/>
          <cell r="U51">
            <v>600</v>
          </cell>
          <cell r="V51"/>
          <cell r="W51">
            <v>550</v>
          </cell>
          <cell r="X51"/>
        </row>
        <row r="52">
          <cell r="B52">
            <v>3690</v>
          </cell>
          <cell r="C52"/>
          <cell r="D52">
            <v>3470</v>
          </cell>
          <cell r="E52"/>
          <cell r="F52">
            <v>3470</v>
          </cell>
          <cell r="G52"/>
          <cell r="H52">
            <v>3440</v>
          </cell>
          <cell r="I52"/>
          <cell r="J52">
            <v>3420</v>
          </cell>
          <cell r="K52"/>
          <cell r="M52">
            <v>1760</v>
          </cell>
          <cell r="N52"/>
          <cell r="O52">
            <v>1690</v>
          </cell>
          <cell r="P52"/>
          <cell r="Q52">
            <v>1470</v>
          </cell>
          <cell r="R52"/>
          <cell r="S52">
            <v>1620</v>
          </cell>
          <cell r="T52">
            <v>1460</v>
          </cell>
          <cell r="U52">
            <v>1420</v>
          </cell>
          <cell r="V52"/>
          <cell r="W52">
            <v>3200</v>
          </cell>
          <cell r="X52"/>
        </row>
        <row r="53">
          <cell r="B53">
            <v>3410</v>
          </cell>
          <cell r="C53"/>
          <cell r="D53">
            <v>3490</v>
          </cell>
          <cell r="E53"/>
          <cell r="F53">
            <v>3350</v>
          </cell>
          <cell r="G53"/>
          <cell r="H53">
            <v>3310</v>
          </cell>
          <cell r="I53"/>
          <cell r="J53"/>
          <cell r="K53"/>
          <cell r="M53">
            <v>2680</v>
          </cell>
          <cell r="N53"/>
          <cell r="O53">
            <v>2360</v>
          </cell>
          <cell r="P53"/>
          <cell r="Q53"/>
          <cell r="R53"/>
          <cell r="S53">
            <v>2090</v>
          </cell>
          <cell r="T53"/>
          <cell r="U53">
            <v>2050</v>
          </cell>
          <cell r="V53"/>
          <cell r="W53">
            <v>1880</v>
          </cell>
          <cell r="X53"/>
        </row>
        <row r="54">
          <cell r="B54">
            <v>3</v>
          </cell>
          <cell r="C54"/>
          <cell r="D54"/>
          <cell r="E54"/>
          <cell r="F54"/>
          <cell r="G54"/>
          <cell r="H54"/>
          <cell r="I54"/>
          <cell r="J54"/>
          <cell r="K54"/>
          <cell r="M54">
            <v>1820</v>
          </cell>
          <cell r="N54"/>
          <cell r="O54">
            <v>1790</v>
          </cell>
          <cell r="P54"/>
          <cell r="Q54">
            <v>1750</v>
          </cell>
          <cell r="R54"/>
          <cell r="S54">
            <v>1700</v>
          </cell>
          <cell r="T54"/>
          <cell r="U54">
            <v>1590</v>
          </cell>
          <cell r="V54"/>
          <cell r="W54">
            <v>1690</v>
          </cell>
          <cell r="X54"/>
        </row>
        <row r="55">
          <cell r="B55">
            <v>2930</v>
          </cell>
          <cell r="C55"/>
          <cell r="D55">
            <v>3400</v>
          </cell>
          <cell r="E55"/>
          <cell r="F55">
            <v>3310</v>
          </cell>
          <cell r="G55"/>
          <cell r="H55">
            <v>3380</v>
          </cell>
          <cell r="I55"/>
          <cell r="J55">
            <v>3260</v>
          </cell>
          <cell r="K55"/>
          <cell r="M55" t="str">
            <v>3 KLIP TINDIK</v>
          </cell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</row>
        <row r="56">
          <cell r="B56">
            <v>3230</v>
          </cell>
          <cell r="C56"/>
          <cell r="D56">
            <v>3270</v>
          </cell>
          <cell r="E56"/>
          <cell r="F56">
            <v>3150</v>
          </cell>
          <cell r="G56"/>
          <cell r="H56">
            <v>3180</v>
          </cell>
          <cell r="I56"/>
          <cell r="J56">
            <v>3270</v>
          </cell>
          <cell r="K56"/>
          <cell r="M56">
            <v>970</v>
          </cell>
          <cell r="N56"/>
          <cell r="O56">
            <v>1000</v>
          </cell>
          <cell r="P56"/>
          <cell r="Q56">
            <v>1020</v>
          </cell>
          <cell r="R56"/>
          <cell r="S56">
            <v>1160</v>
          </cell>
          <cell r="T56"/>
          <cell r="U56">
            <v>1180</v>
          </cell>
          <cell r="V56"/>
          <cell r="W56">
            <v>1260</v>
          </cell>
          <cell r="X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M57">
            <v>1260</v>
          </cell>
          <cell r="N57"/>
          <cell r="O57">
            <v>1330</v>
          </cell>
          <cell r="P57"/>
          <cell r="Q57">
            <v>1350</v>
          </cell>
          <cell r="R57"/>
          <cell r="S57">
            <v>1350</v>
          </cell>
          <cell r="T57"/>
          <cell r="U57">
            <v>1360</v>
          </cell>
          <cell r="V57"/>
          <cell r="W57">
            <v>1430</v>
          </cell>
          <cell r="X57"/>
        </row>
        <row r="58">
          <cell r="B58">
            <v>3080</v>
          </cell>
          <cell r="C58"/>
          <cell r="D58">
            <v>3420</v>
          </cell>
          <cell r="E58"/>
          <cell r="F58">
            <v>3190</v>
          </cell>
          <cell r="G58"/>
          <cell r="H58">
            <v>3260</v>
          </cell>
          <cell r="I58"/>
          <cell r="J58">
            <v>3160</v>
          </cell>
          <cell r="K58"/>
          <cell r="M58">
            <v>1560</v>
          </cell>
          <cell r="N58"/>
          <cell r="O58">
            <v>1300</v>
          </cell>
          <cell r="P58"/>
          <cell r="Q58">
            <v>1260</v>
          </cell>
          <cell r="R58"/>
          <cell r="S58">
            <v>960</v>
          </cell>
          <cell r="T58"/>
          <cell r="U58">
            <v>940</v>
          </cell>
          <cell r="V58">
            <v>1410</v>
          </cell>
          <cell r="W58"/>
          <cell r="X58"/>
        </row>
        <row r="59">
          <cell r="B59">
            <v>3010</v>
          </cell>
          <cell r="C59"/>
          <cell r="D59">
            <v>3140</v>
          </cell>
          <cell r="E59"/>
          <cell r="F59">
            <v>2700</v>
          </cell>
          <cell r="G59"/>
          <cell r="H59">
            <v>3240</v>
          </cell>
          <cell r="I59"/>
          <cell r="J59">
            <v>3200</v>
          </cell>
          <cell r="K59"/>
          <cell r="M59">
            <v>1370</v>
          </cell>
          <cell r="N59"/>
          <cell r="O59">
            <v>1470</v>
          </cell>
          <cell r="P59"/>
          <cell r="Q59">
            <v>1800</v>
          </cell>
          <cell r="R59">
            <v>1100</v>
          </cell>
          <cell r="S59">
            <v>2180</v>
          </cell>
          <cell r="T59"/>
          <cell r="U59">
            <v>2350</v>
          </cell>
          <cell r="V59"/>
          <cell r="W59">
            <v>2450</v>
          </cell>
          <cell r="X59"/>
        </row>
        <row r="60">
          <cell r="B60">
            <v>4</v>
          </cell>
          <cell r="C60"/>
          <cell r="D60"/>
          <cell r="E60"/>
          <cell r="F60"/>
          <cell r="G60"/>
          <cell r="H60"/>
          <cell r="I60"/>
          <cell r="J60"/>
          <cell r="K60"/>
          <cell r="M60">
            <v>520</v>
          </cell>
          <cell r="N60"/>
          <cell r="O60">
            <v>460</v>
          </cell>
          <cell r="P60"/>
          <cell r="Q60">
            <v>480</v>
          </cell>
          <cell r="R60"/>
          <cell r="S60">
            <v>480</v>
          </cell>
          <cell r="T60"/>
          <cell r="U60">
            <v>470</v>
          </cell>
          <cell r="V60"/>
          <cell r="W60">
            <v>460</v>
          </cell>
          <cell r="X60"/>
        </row>
        <row r="61">
          <cell r="B61">
            <v>3100</v>
          </cell>
          <cell r="C61"/>
          <cell r="D61">
            <v>3120</v>
          </cell>
          <cell r="E61"/>
          <cell r="F61">
            <v>2830</v>
          </cell>
          <cell r="G61"/>
          <cell r="H61">
            <v>2770</v>
          </cell>
          <cell r="I61"/>
          <cell r="J61">
            <v>3010</v>
          </cell>
          <cell r="K61"/>
          <cell r="M61">
            <v>460</v>
          </cell>
          <cell r="N61"/>
          <cell r="O61">
            <v>450</v>
          </cell>
          <cell r="P61"/>
          <cell r="Q61"/>
          <cell r="R61"/>
          <cell r="S61"/>
          <cell r="T61"/>
          <cell r="U61">
            <v>1320</v>
          </cell>
          <cell r="V61"/>
          <cell r="W61">
            <v>2110</v>
          </cell>
          <cell r="X61"/>
        </row>
        <row r="62">
          <cell r="B62">
            <v>3030</v>
          </cell>
          <cell r="C62"/>
          <cell r="D62">
            <v>3030</v>
          </cell>
          <cell r="E62"/>
          <cell r="F62">
            <v>2870</v>
          </cell>
          <cell r="G62"/>
          <cell r="H62">
            <v>2600</v>
          </cell>
          <cell r="I62"/>
          <cell r="J62">
            <v>2830</v>
          </cell>
          <cell r="K62"/>
          <cell r="M62" t="str">
            <v>4 JIBSI DEWI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M63">
            <v>2630</v>
          </cell>
          <cell r="N63"/>
          <cell r="O63">
            <v>2660</v>
          </cell>
          <cell r="P63"/>
          <cell r="Q63">
            <v>2300</v>
          </cell>
          <cell r="R63"/>
          <cell r="S63">
            <v>2100</v>
          </cell>
          <cell r="T63"/>
          <cell r="U63">
            <v>1790</v>
          </cell>
          <cell r="V63"/>
          <cell r="W63">
            <v>1600</v>
          </cell>
          <cell r="X63"/>
        </row>
        <row r="64">
          <cell r="B64">
            <v>3040</v>
          </cell>
          <cell r="C64"/>
          <cell r="D64">
            <v>3100</v>
          </cell>
          <cell r="E64"/>
          <cell r="F64">
            <v>3310</v>
          </cell>
          <cell r="G64"/>
          <cell r="H64">
            <v>3260</v>
          </cell>
          <cell r="I64"/>
          <cell r="J64">
            <v>2600</v>
          </cell>
          <cell r="K64"/>
          <cell r="M64">
            <v>1160</v>
          </cell>
          <cell r="N64"/>
          <cell r="O64">
            <v>1570</v>
          </cell>
          <cell r="P64"/>
          <cell r="Q64">
            <v>1290</v>
          </cell>
          <cell r="R64"/>
          <cell r="S64">
            <v>1250</v>
          </cell>
          <cell r="T64"/>
          <cell r="U64">
            <v>1180</v>
          </cell>
          <cell r="V64"/>
          <cell r="W64">
            <v>1180</v>
          </cell>
          <cell r="X64"/>
        </row>
        <row r="65">
          <cell r="B65">
            <v>2960</v>
          </cell>
          <cell r="C65"/>
          <cell r="D65">
            <v>2930</v>
          </cell>
          <cell r="E65"/>
          <cell r="F65">
            <v>2950</v>
          </cell>
          <cell r="G65"/>
          <cell r="H65">
            <v>2380</v>
          </cell>
          <cell r="I65"/>
          <cell r="J65">
            <v>2730</v>
          </cell>
          <cell r="K65"/>
          <cell r="M65"/>
          <cell r="N65"/>
          <cell r="O65">
            <v>1160</v>
          </cell>
          <cell r="P65"/>
          <cell r="Q65">
            <v>1160</v>
          </cell>
          <cell r="R65"/>
          <cell r="S65">
            <v>1150</v>
          </cell>
          <cell r="T65"/>
          <cell r="U65">
            <v>1110</v>
          </cell>
          <cell r="V65">
            <v>1100</v>
          </cell>
          <cell r="W65">
            <v>1100</v>
          </cell>
          <cell r="X65"/>
        </row>
        <row r="66">
          <cell r="B66">
            <v>5</v>
          </cell>
          <cell r="C66"/>
          <cell r="D66"/>
          <cell r="E66"/>
          <cell r="F66"/>
          <cell r="G66"/>
          <cell r="H66"/>
          <cell r="I66"/>
          <cell r="J66"/>
          <cell r="K66"/>
          <cell r="M66">
            <v>1070</v>
          </cell>
          <cell r="N66"/>
          <cell r="O66">
            <v>1020</v>
          </cell>
          <cell r="P66"/>
          <cell r="Q66">
            <v>960</v>
          </cell>
          <cell r="R66"/>
          <cell r="S66">
            <v>1020</v>
          </cell>
          <cell r="T66"/>
          <cell r="U66">
            <v>1040</v>
          </cell>
          <cell r="V66"/>
          <cell r="W66">
            <v>1040</v>
          </cell>
          <cell r="X66"/>
        </row>
        <row r="67">
          <cell r="B67">
            <v>2600</v>
          </cell>
          <cell r="C67"/>
          <cell r="D67">
            <v>2630</v>
          </cell>
          <cell r="E67"/>
          <cell r="F67">
            <v>2790</v>
          </cell>
          <cell r="G67"/>
          <cell r="H67">
            <v>2790</v>
          </cell>
          <cell r="I67"/>
          <cell r="J67">
            <v>2880</v>
          </cell>
          <cell r="K67"/>
          <cell r="M67">
            <v>740</v>
          </cell>
          <cell r="N67">
            <v>710</v>
          </cell>
          <cell r="O67"/>
          <cell r="P67"/>
          <cell r="Q67">
            <v>620</v>
          </cell>
          <cell r="R67"/>
          <cell r="S67">
            <v>550</v>
          </cell>
          <cell r="T67"/>
          <cell r="U67">
            <v>550</v>
          </cell>
          <cell r="V67"/>
          <cell r="W67">
            <v>400</v>
          </cell>
          <cell r="X67"/>
        </row>
        <row r="68">
          <cell r="B68">
            <v>2600</v>
          </cell>
          <cell r="C68"/>
          <cell r="D68">
            <v>2190</v>
          </cell>
          <cell r="E68"/>
          <cell r="F68">
            <v>2730</v>
          </cell>
          <cell r="G68"/>
          <cell r="H68">
            <v>2750</v>
          </cell>
          <cell r="I68"/>
          <cell r="J68">
            <v>2590</v>
          </cell>
          <cell r="K68"/>
          <cell r="M68">
            <v>500</v>
          </cell>
          <cell r="N68">
            <v>540</v>
          </cell>
          <cell r="O68"/>
          <cell r="P68">
            <v>510</v>
          </cell>
          <cell r="Q68"/>
          <cell r="R68">
            <v>520</v>
          </cell>
          <cell r="S68">
            <v>1020</v>
          </cell>
          <cell r="T68"/>
          <cell r="U68">
            <v>2270</v>
          </cell>
          <cell r="V68">
            <v>1460</v>
          </cell>
          <cell r="W68">
            <v>1180</v>
          </cell>
          <cell r="X68">
            <v>970</v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M69" t="str">
            <v>5 GIWANG AWAL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</row>
        <row r="70">
          <cell r="B70">
            <v>2520</v>
          </cell>
          <cell r="C70"/>
          <cell r="D70">
            <v>2550</v>
          </cell>
          <cell r="E70"/>
          <cell r="F70">
            <v>2540</v>
          </cell>
          <cell r="G70"/>
          <cell r="H70">
            <v>2590</v>
          </cell>
          <cell r="I70"/>
          <cell r="J70">
            <v>2350</v>
          </cell>
          <cell r="K70"/>
          <cell r="M70">
            <v>1140</v>
          </cell>
          <cell r="N70"/>
          <cell r="O70">
            <v>370</v>
          </cell>
          <cell r="P70"/>
          <cell r="Q70">
            <v>960</v>
          </cell>
          <cell r="R70"/>
          <cell r="S70">
            <v>500</v>
          </cell>
          <cell r="T70"/>
          <cell r="U70">
            <v>500</v>
          </cell>
          <cell r="V70"/>
          <cell r="W70">
            <v>530</v>
          </cell>
          <cell r="X70"/>
        </row>
        <row r="71">
          <cell r="B71">
            <v>2840</v>
          </cell>
          <cell r="C71"/>
          <cell r="D71">
            <v>2860</v>
          </cell>
          <cell r="E71"/>
          <cell r="F71">
            <v>2810</v>
          </cell>
          <cell r="G71"/>
          <cell r="H71">
            <v>3040</v>
          </cell>
          <cell r="I71"/>
          <cell r="J71">
            <v>2750</v>
          </cell>
          <cell r="K71"/>
          <cell r="M71"/>
          <cell r="N71"/>
          <cell r="O71">
            <v>580</v>
          </cell>
          <cell r="P71">
            <v>600</v>
          </cell>
          <cell r="Q71">
            <v>530</v>
          </cell>
          <cell r="R71"/>
          <cell r="S71">
            <v>660</v>
          </cell>
          <cell r="T71"/>
          <cell r="U71">
            <v>910</v>
          </cell>
          <cell r="V71"/>
          <cell r="W71">
            <v>1000</v>
          </cell>
          <cell r="X71"/>
        </row>
        <row r="72">
          <cell r="B72">
            <v>6</v>
          </cell>
          <cell r="C72"/>
          <cell r="D72"/>
          <cell r="E72"/>
          <cell r="F72"/>
          <cell r="G72"/>
          <cell r="H72"/>
          <cell r="I72"/>
          <cell r="J72"/>
          <cell r="K72"/>
          <cell r="M72">
            <v>1010</v>
          </cell>
          <cell r="N72"/>
          <cell r="O72">
            <v>1480</v>
          </cell>
          <cell r="P72"/>
          <cell r="Q72">
            <v>1320</v>
          </cell>
          <cell r="R72"/>
          <cell r="S72"/>
          <cell r="T72"/>
          <cell r="U72"/>
          <cell r="V72"/>
          <cell r="W72"/>
          <cell r="X72"/>
        </row>
        <row r="73">
          <cell r="B73">
            <v>3210</v>
          </cell>
          <cell r="C73"/>
          <cell r="D73">
            <v>2140</v>
          </cell>
          <cell r="E73"/>
          <cell r="F73">
            <v>2200</v>
          </cell>
          <cell r="G73"/>
          <cell r="H73">
            <v>2390</v>
          </cell>
          <cell r="I73"/>
          <cell r="J73">
            <v>2130</v>
          </cell>
          <cell r="K73">
            <v>2740</v>
          </cell>
          <cell r="M73" t="str">
            <v>6 GIWANG AKHIR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</row>
        <row r="74">
          <cell r="B74">
            <v>2570</v>
          </cell>
          <cell r="C74"/>
          <cell r="D74"/>
          <cell r="E74"/>
          <cell r="F74">
            <v>2640</v>
          </cell>
          <cell r="G74"/>
          <cell r="H74">
            <v>2330</v>
          </cell>
          <cell r="I74"/>
          <cell r="J74">
            <v>2380</v>
          </cell>
          <cell r="K74"/>
          <cell r="M74">
            <v>980</v>
          </cell>
          <cell r="N74"/>
          <cell r="O74">
            <v>550</v>
          </cell>
          <cell r="P74"/>
          <cell r="Q74">
            <v>510</v>
          </cell>
          <cell r="R74"/>
          <cell r="S74">
            <v>1430</v>
          </cell>
          <cell r="T74"/>
          <cell r="U74">
            <v>520</v>
          </cell>
          <cell r="V74"/>
          <cell r="W74">
            <v>570</v>
          </cell>
          <cell r="X74"/>
        </row>
        <row r="75">
          <cell r="B75">
            <v>2260</v>
          </cell>
          <cell r="C75"/>
          <cell r="D75">
            <v>2520</v>
          </cell>
          <cell r="E75"/>
          <cell r="F75">
            <v>2260</v>
          </cell>
          <cell r="G75"/>
          <cell r="H75">
            <v>2370</v>
          </cell>
          <cell r="I75"/>
          <cell r="J75">
            <v>2690</v>
          </cell>
          <cell r="K75"/>
          <cell r="M75">
            <v>450</v>
          </cell>
          <cell r="N75"/>
          <cell r="O75">
            <v>450</v>
          </cell>
          <cell r="P75"/>
          <cell r="Q75">
            <v>990</v>
          </cell>
          <cell r="R75"/>
          <cell r="S75">
            <v>880</v>
          </cell>
          <cell r="T75"/>
          <cell r="U75">
            <v>860</v>
          </cell>
          <cell r="V75"/>
          <cell r="W75">
            <v>510</v>
          </cell>
          <cell r="X75"/>
        </row>
        <row r="76">
          <cell r="B76">
            <v>2880</v>
          </cell>
          <cell r="C76"/>
          <cell r="D76">
            <v>2830</v>
          </cell>
          <cell r="E76"/>
          <cell r="F76">
            <v>2890</v>
          </cell>
          <cell r="G76"/>
          <cell r="H76">
            <v>2710</v>
          </cell>
          <cell r="I76"/>
          <cell r="J76">
            <v>2600</v>
          </cell>
          <cell r="K76"/>
          <cell r="M76">
            <v>1080</v>
          </cell>
          <cell r="N76"/>
          <cell r="O76">
            <v>1030</v>
          </cell>
          <cell r="P76" t="str">
            <v xml:space="preserve">   </v>
          </cell>
          <cell r="Q76">
            <v>950</v>
          </cell>
          <cell r="R76"/>
          <cell r="S76"/>
          <cell r="T76"/>
          <cell r="U76"/>
          <cell r="V76"/>
          <cell r="W76"/>
          <cell r="X76"/>
        </row>
        <row r="77">
          <cell r="B77"/>
          <cell r="C77"/>
          <cell r="D77"/>
          <cell r="E77"/>
          <cell r="F77"/>
          <cell r="G77"/>
          <cell r="H77"/>
          <cell r="I77"/>
          <cell r="J77"/>
          <cell r="K77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Chart1"/>
      <sheetName val="Sheet1"/>
    </sheetNames>
    <sheetDataSet>
      <sheetData sheetId="0"/>
      <sheetData sheetId="1"/>
      <sheetData sheetId="2">
        <row r="3">
          <cell r="F3"/>
        </row>
        <row r="4">
          <cell r="F4">
            <v>4310</v>
          </cell>
          <cell r="G4">
            <v>2390</v>
          </cell>
          <cell r="H4">
            <v>2120</v>
          </cell>
          <cell r="I4">
            <v>1950</v>
          </cell>
          <cell r="J4">
            <v>2460</v>
          </cell>
          <cell r="K4">
            <v>1420</v>
          </cell>
          <cell r="L4">
            <v>2940</v>
          </cell>
          <cell r="M4">
            <v>3190</v>
          </cell>
          <cell r="N4">
            <v>2300</v>
          </cell>
          <cell r="O4">
            <v>1880</v>
          </cell>
          <cell r="P4">
            <v>2100</v>
          </cell>
          <cell r="Q4">
            <v>1940</v>
          </cell>
          <cell r="R4">
            <v>2370</v>
          </cell>
          <cell r="S4">
            <v>2520</v>
          </cell>
          <cell r="T4">
            <v>2360</v>
          </cell>
          <cell r="U4">
            <v>1940</v>
          </cell>
          <cell r="V4">
            <v>2170</v>
          </cell>
          <cell r="W4">
            <v>2070</v>
          </cell>
          <cell r="X4">
            <v>1850</v>
          </cell>
          <cell r="Y4">
            <v>2280</v>
          </cell>
        </row>
        <row r="5"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F6">
            <v>2140</v>
          </cell>
          <cell r="G6">
            <v>3900</v>
          </cell>
          <cell r="H6">
            <v>2740</v>
          </cell>
          <cell r="I6">
            <v>2750</v>
          </cell>
          <cell r="J6">
            <v>3450</v>
          </cell>
          <cell r="K6">
            <v>3100</v>
          </cell>
          <cell r="L6">
            <v>2370</v>
          </cell>
          <cell r="M6">
            <v>3540</v>
          </cell>
          <cell r="N6">
            <v>2770</v>
          </cell>
          <cell r="O6">
            <v>2950</v>
          </cell>
          <cell r="P6">
            <v>3020</v>
          </cell>
          <cell r="Q6">
            <v>2750</v>
          </cell>
          <cell r="R6">
            <v>2870</v>
          </cell>
          <cell r="S6">
            <v>3350</v>
          </cell>
          <cell r="T6">
            <v>2790</v>
          </cell>
          <cell r="U6">
            <v>4680</v>
          </cell>
          <cell r="V6">
            <v>2730</v>
          </cell>
          <cell r="W6">
            <v>2750</v>
          </cell>
          <cell r="X6">
            <v>2150</v>
          </cell>
          <cell r="Y6">
            <v>2040</v>
          </cell>
        </row>
        <row r="7"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R7"/>
          <cell r="S7"/>
          <cell r="U7" t="str">
            <v>11/15/2025/03</v>
          </cell>
        </row>
        <row r="8">
          <cell r="F8">
            <v>2850</v>
          </cell>
          <cell r="G8">
            <v>2480</v>
          </cell>
          <cell r="H8">
            <v>2560</v>
          </cell>
          <cell r="I8">
            <v>2580</v>
          </cell>
          <cell r="J8">
            <v>2350</v>
          </cell>
          <cell r="K8">
            <v>2370</v>
          </cell>
          <cell r="L8">
            <v>2300</v>
          </cell>
          <cell r="M8">
            <v>2440</v>
          </cell>
          <cell r="N8">
            <v>2280</v>
          </cell>
          <cell r="O8">
            <v>2040</v>
          </cell>
          <cell r="P8">
            <v>2180</v>
          </cell>
          <cell r="Q8">
            <v>2430</v>
          </cell>
          <cell r="R8">
            <v>2390</v>
          </cell>
          <cell r="S8">
            <v>2620</v>
          </cell>
          <cell r="T8">
            <v>3030</v>
          </cell>
          <cell r="U8">
            <v>3070</v>
          </cell>
          <cell r="V8">
            <v>3640</v>
          </cell>
          <cell r="W8">
            <v>1560</v>
          </cell>
          <cell r="X8">
            <v>1750</v>
          </cell>
          <cell r="Y8">
            <v>1960</v>
          </cell>
        </row>
        <row r="9">
          <cell r="K9"/>
          <cell r="L9"/>
          <cell r="M9"/>
          <cell r="N9"/>
          <cell r="O9"/>
          <cell r="P9"/>
          <cell r="Q9"/>
          <cell r="S9" t="str">
            <v>11/13/2025/07</v>
          </cell>
        </row>
        <row r="10">
          <cell r="F10">
            <v>2000</v>
          </cell>
          <cell r="G10">
            <v>1850</v>
          </cell>
          <cell r="H10">
            <v>1940</v>
          </cell>
          <cell r="I10">
            <v>2320</v>
          </cell>
          <cell r="J10">
            <v>1940</v>
          </cell>
          <cell r="K10">
            <v>1910</v>
          </cell>
          <cell r="L10">
            <v>1790</v>
          </cell>
          <cell r="M10">
            <v>1710</v>
          </cell>
          <cell r="N10">
            <v>2140</v>
          </cell>
          <cell r="O10">
            <v>2130</v>
          </cell>
          <cell r="P10">
            <v>2130</v>
          </cell>
          <cell r="Q10">
            <v>2360</v>
          </cell>
          <cell r="R10">
            <v>1800</v>
          </cell>
          <cell r="S10">
            <v>2050</v>
          </cell>
          <cell r="T10">
            <v>1960</v>
          </cell>
          <cell r="U10">
            <v>1810</v>
          </cell>
          <cell r="V10">
            <v>1940</v>
          </cell>
          <cell r="W10">
            <v>2430</v>
          </cell>
          <cell r="X10">
            <v>1810</v>
          </cell>
        </row>
        <row r="11">
          <cell r="L11"/>
          <cell r="M11"/>
          <cell r="N11"/>
        </row>
        <row r="12">
          <cell r="F12">
            <v>2530</v>
          </cell>
          <cell r="G12">
            <v>1980</v>
          </cell>
          <cell r="H12">
            <v>1440</v>
          </cell>
          <cell r="I12">
            <v>1200</v>
          </cell>
          <cell r="J12">
            <v>1460</v>
          </cell>
          <cell r="K12">
            <v>2020</v>
          </cell>
          <cell r="L12">
            <v>1230</v>
          </cell>
          <cell r="M12">
            <v>1910</v>
          </cell>
          <cell r="N12">
            <v>1290</v>
          </cell>
          <cell r="O12">
            <v>1360</v>
          </cell>
          <cell r="P12">
            <v>970</v>
          </cell>
          <cell r="Q12">
            <v>1440</v>
          </cell>
          <cell r="R12">
            <v>1840</v>
          </cell>
          <cell r="S12">
            <v>1440</v>
          </cell>
          <cell r="T12">
            <v>1430</v>
          </cell>
          <cell r="U12">
            <v>1830</v>
          </cell>
          <cell r="V12">
            <v>1450</v>
          </cell>
          <cell r="W12">
            <v>1510</v>
          </cell>
          <cell r="X12">
            <v>1730</v>
          </cell>
          <cell r="Y12">
            <v>1690</v>
          </cell>
          <cell r="Z12"/>
          <cell r="AA12"/>
          <cell r="AB12"/>
        </row>
        <row r="13">
          <cell r="F13" t="str">
            <v>28/11/2025/3</v>
          </cell>
          <cell r="G13" t="str">
            <v>11/15/2025/02</v>
          </cell>
          <cell r="I13" t="str">
            <v>11/20/2025/06</v>
          </cell>
          <cell r="L13" t="str">
            <v>11/14/2025/01</v>
          </cell>
          <cell r="O13" t="str">
            <v>11/20/2025/05</v>
          </cell>
          <cell r="S13" t="str">
            <v>KOSOK</v>
          </cell>
          <cell r="T13"/>
          <cell r="U13"/>
          <cell r="V13"/>
          <cell r="W13"/>
          <cell r="X13"/>
          <cell r="Y13"/>
          <cell r="Z13"/>
          <cell r="AA13"/>
          <cell r="AB13"/>
        </row>
        <row r="14">
          <cell r="F14">
            <v>1230</v>
          </cell>
          <cell r="G14">
            <v>1280</v>
          </cell>
          <cell r="H14">
            <v>1300</v>
          </cell>
          <cell r="I14">
            <v>1370</v>
          </cell>
          <cell r="J14">
            <v>1260</v>
          </cell>
          <cell r="K14">
            <v>1710</v>
          </cell>
          <cell r="L14">
            <v>1540</v>
          </cell>
          <cell r="M14">
            <v>1930</v>
          </cell>
          <cell r="N14">
            <v>1240</v>
          </cell>
          <cell r="O14">
            <v>1150</v>
          </cell>
          <cell r="P14">
            <v>1060</v>
          </cell>
          <cell r="Q14">
            <v>1170</v>
          </cell>
          <cell r="R14">
            <v>1040</v>
          </cell>
          <cell r="S14">
            <v>1270</v>
          </cell>
          <cell r="T14">
            <v>1370</v>
          </cell>
          <cell r="U14">
            <v>930</v>
          </cell>
          <cell r="V14">
            <v>1170</v>
          </cell>
          <cell r="W14">
            <v>1390</v>
          </cell>
          <cell r="X14">
            <v>1190</v>
          </cell>
          <cell r="Y14">
            <v>1270</v>
          </cell>
          <cell r="Z14">
            <v>950</v>
          </cell>
          <cell r="AA14"/>
          <cell r="AB14"/>
        </row>
        <row r="15">
          <cell r="T15"/>
          <cell r="U15"/>
          <cell r="V15"/>
          <cell r="W15"/>
          <cell r="X15"/>
          <cell r="Y15"/>
          <cell r="Z15"/>
          <cell r="AA15"/>
          <cell r="AB15"/>
        </row>
        <row r="16">
          <cell r="E16">
            <v>1380</v>
          </cell>
          <cell r="F16">
            <v>1020</v>
          </cell>
          <cell r="G16">
            <v>1230</v>
          </cell>
          <cell r="H16">
            <v>1050</v>
          </cell>
          <cell r="I16">
            <v>1140</v>
          </cell>
          <cell r="J16">
            <v>1200</v>
          </cell>
          <cell r="K16">
            <v>1130</v>
          </cell>
          <cell r="L16">
            <v>1290</v>
          </cell>
          <cell r="M16">
            <v>1070</v>
          </cell>
          <cell r="N16">
            <v>520</v>
          </cell>
          <cell r="O16">
            <v>560</v>
          </cell>
          <cell r="P16">
            <v>560</v>
          </cell>
          <cell r="Q16">
            <v>690</v>
          </cell>
          <cell r="R16">
            <v>960</v>
          </cell>
          <cell r="S16">
            <v>880</v>
          </cell>
          <cell r="T16">
            <v>880</v>
          </cell>
          <cell r="U16">
            <v>560</v>
          </cell>
          <cell r="V16">
            <v>530</v>
          </cell>
          <cell r="W16">
            <v>520</v>
          </cell>
          <cell r="X16">
            <v>470</v>
          </cell>
          <cell r="Y16">
            <v>450</v>
          </cell>
          <cell r="Z16">
            <v>1280</v>
          </cell>
          <cell r="AA16">
            <v>970</v>
          </cell>
          <cell r="AB16">
            <v>600</v>
          </cell>
          <cell r="AC16">
            <v>1390</v>
          </cell>
          <cell r="AD16">
            <v>1200</v>
          </cell>
        </row>
        <row r="17">
          <cell r="P17" t="str">
            <v>KOSOK</v>
          </cell>
        </row>
        <row r="22">
          <cell r="F22">
            <v>2690</v>
          </cell>
          <cell r="G22">
            <v>2620</v>
          </cell>
          <cell r="H22">
            <v>1990</v>
          </cell>
          <cell r="I22">
            <v>2860</v>
          </cell>
          <cell r="J22">
            <v>2220</v>
          </cell>
          <cell r="K22">
            <v>1990</v>
          </cell>
          <cell r="L22">
            <v>2580</v>
          </cell>
          <cell r="M22">
            <v>2330</v>
          </cell>
          <cell r="N22">
            <v>2570</v>
          </cell>
          <cell r="O22">
            <v>2320</v>
          </cell>
          <cell r="P22">
            <v>2400</v>
          </cell>
          <cell r="Q22">
            <v>2390</v>
          </cell>
          <cell r="R22">
            <v>2320</v>
          </cell>
          <cell r="S22">
            <v>2180</v>
          </cell>
          <cell r="T22">
            <v>1950</v>
          </cell>
          <cell r="U22">
            <v>2150</v>
          </cell>
          <cell r="V22">
            <v>2210</v>
          </cell>
          <cell r="W22">
            <v>2950</v>
          </cell>
          <cell r="X22">
            <v>3660</v>
          </cell>
          <cell r="Y22">
            <v>3600</v>
          </cell>
        </row>
        <row r="24">
          <cell r="F24">
            <v>2220</v>
          </cell>
          <cell r="G24">
            <v>2010</v>
          </cell>
          <cell r="H24">
            <v>1850</v>
          </cell>
          <cell r="I24">
            <v>2050</v>
          </cell>
          <cell r="J24">
            <v>2480</v>
          </cell>
          <cell r="K24">
            <v>2250</v>
          </cell>
          <cell r="L24">
            <v>2790</v>
          </cell>
          <cell r="M24">
            <v>2570</v>
          </cell>
          <cell r="N24">
            <v>2270</v>
          </cell>
          <cell r="O24">
            <v>2200</v>
          </cell>
          <cell r="P24">
            <v>2350</v>
          </cell>
          <cell r="Q24">
            <v>2460</v>
          </cell>
          <cell r="R24">
            <v>2020</v>
          </cell>
          <cell r="S24">
            <v>2080</v>
          </cell>
          <cell r="T24">
            <v>2370</v>
          </cell>
          <cell r="U24">
            <v>2030</v>
          </cell>
          <cell r="V24">
            <v>2200</v>
          </cell>
          <cell r="W24">
            <v>2210</v>
          </cell>
          <cell r="X24">
            <v>2200</v>
          </cell>
          <cell r="Y24">
            <v>2140</v>
          </cell>
          <cell r="Z24">
            <v>2190</v>
          </cell>
        </row>
        <row r="26">
          <cell r="F26">
            <v>2090</v>
          </cell>
          <cell r="G26">
            <v>1750</v>
          </cell>
          <cell r="H26">
            <v>1590</v>
          </cell>
          <cell r="I26">
            <v>1850</v>
          </cell>
          <cell r="J26">
            <v>1940</v>
          </cell>
          <cell r="K26">
            <v>1920</v>
          </cell>
          <cell r="L26">
            <v>1970</v>
          </cell>
          <cell r="M26">
            <v>1890</v>
          </cell>
          <cell r="N26">
            <v>1920</v>
          </cell>
          <cell r="O26">
            <v>2010</v>
          </cell>
          <cell r="P26">
            <v>1810</v>
          </cell>
          <cell r="Q26">
            <v>1900</v>
          </cell>
          <cell r="R26">
            <v>2000</v>
          </cell>
          <cell r="S26">
            <v>1890</v>
          </cell>
          <cell r="T26">
            <v>1600</v>
          </cell>
          <cell r="U26">
            <v>1950</v>
          </cell>
          <cell r="V26">
            <v>1960</v>
          </cell>
          <cell r="W26">
            <v>1980</v>
          </cell>
          <cell r="X26">
            <v>1890</v>
          </cell>
          <cell r="Y26">
            <v>1920</v>
          </cell>
          <cell r="Z26">
            <v>1970</v>
          </cell>
        </row>
        <row r="28">
          <cell r="F28">
            <v>1320</v>
          </cell>
          <cell r="G28">
            <v>1520</v>
          </cell>
          <cell r="H28">
            <v>1700</v>
          </cell>
          <cell r="I28">
            <v>1820</v>
          </cell>
          <cell r="J28">
            <v>1730</v>
          </cell>
          <cell r="K28">
            <v>1650</v>
          </cell>
          <cell r="L28">
            <v>1780</v>
          </cell>
          <cell r="M28">
            <v>1710</v>
          </cell>
          <cell r="N28">
            <v>1500</v>
          </cell>
          <cell r="O28">
            <v>1750</v>
          </cell>
          <cell r="P28">
            <v>1760</v>
          </cell>
          <cell r="Q28">
            <v>1790</v>
          </cell>
          <cell r="R28">
            <v>1610</v>
          </cell>
          <cell r="S28">
            <v>1660</v>
          </cell>
          <cell r="T28">
            <v>1760</v>
          </cell>
          <cell r="U28">
            <v>1860</v>
          </cell>
          <cell r="V28">
            <v>1680</v>
          </cell>
          <cell r="W28">
            <v>1790</v>
          </cell>
          <cell r="X28">
            <v>1870</v>
          </cell>
          <cell r="Y28">
            <v>1740</v>
          </cell>
          <cell r="Z28">
            <v>1770</v>
          </cell>
        </row>
        <row r="30">
          <cell r="F30">
            <v>1250</v>
          </cell>
          <cell r="G30">
            <v>1540</v>
          </cell>
          <cell r="H30">
            <v>1600</v>
          </cell>
          <cell r="I30">
            <v>1560</v>
          </cell>
          <cell r="J30">
            <v>1480</v>
          </cell>
          <cell r="K30">
            <v>1300</v>
          </cell>
          <cell r="L30">
            <v>1430</v>
          </cell>
          <cell r="M30">
            <v>1080</v>
          </cell>
          <cell r="N30">
            <v>1670</v>
          </cell>
          <cell r="O30">
            <v>1710</v>
          </cell>
          <cell r="P30">
            <v>1430</v>
          </cell>
          <cell r="Q30">
            <v>1600</v>
          </cell>
          <cell r="R30">
            <v>1400</v>
          </cell>
          <cell r="S30">
            <v>1680</v>
          </cell>
          <cell r="T30">
            <v>1530</v>
          </cell>
          <cell r="U30">
            <v>1670</v>
          </cell>
          <cell r="V30">
            <v>1720</v>
          </cell>
          <cell r="W30">
            <v>1420</v>
          </cell>
          <cell r="X30">
            <v>1370</v>
          </cell>
          <cell r="Y30">
            <v>1450</v>
          </cell>
          <cell r="Z30">
            <v>900</v>
          </cell>
        </row>
        <row r="31">
          <cell r="S31" t="str">
            <v xml:space="preserve">    </v>
          </cell>
        </row>
        <row r="32">
          <cell r="F32">
            <v>1560</v>
          </cell>
          <cell r="G32">
            <v>1590</v>
          </cell>
          <cell r="H32">
            <v>1190</v>
          </cell>
          <cell r="I32">
            <v>1410</v>
          </cell>
          <cell r="J32">
            <v>1320</v>
          </cell>
          <cell r="K32">
            <v>1600</v>
          </cell>
          <cell r="L32">
            <v>1050</v>
          </cell>
          <cell r="M32">
            <v>1570</v>
          </cell>
          <cell r="N32">
            <v>1390</v>
          </cell>
          <cell r="O32">
            <v>1520</v>
          </cell>
          <cell r="P32">
            <v>1380</v>
          </cell>
          <cell r="Q32">
            <v>960</v>
          </cell>
          <cell r="R32">
            <v>1340</v>
          </cell>
          <cell r="S32">
            <v>1470</v>
          </cell>
          <cell r="T32">
            <v>1480</v>
          </cell>
          <cell r="U32">
            <v>1200</v>
          </cell>
          <cell r="V32">
            <v>1350</v>
          </cell>
          <cell r="W32">
            <v>1370</v>
          </cell>
          <cell r="X32">
            <v>1180</v>
          </cell>
          <cell r="Y32">
            <v>1100</v>
          </cell>
          <cell r="Z32">
            <v>1570</v>
          </cell>
        </row>
        <row r="34">
          <cell r="F34">
            <v>900</v>
          </cell>
          <cell r="G34">
            <v>1290</v>
          </cell>
          <cell r="H34">
            <v>1130</v>
          </cell>
          <cell r="I34" t="str">
            <v>11/10/2025/02</v>
          </cell>
          <cell r="J34">
            <v>930</v>
          </cell>
          <cell r="K34">
            <v>1110</v>
          </cell>
          <cell r="L34">
            <v>450</v>
          </cell>
          <cell r="M34">
            <v>560</v>
          </cell>
          <cell r="N34">
            <v>1130</v>
          </cell>
          <cell r="O34">
            <v>910</v>
          </cell>
          <cell r="P34">
            <v>1420</v>
          </cell>
          <cell r="Q34">
            <v>1310</v>
          </cell>
          <cell r="R34">
            <v>800</v>
          </cell>
          <cell r="S34">
            <v>960</v>
          </cell>
          <cell r="T34">
            <v>1060</v>
          </cell>
          <cell r="U34">
            <v>1020</v>
          </cell>
          <cell r="W34">
            <v>1240</v>
          </cell>
        </row>
        <row r="39">
          <cell r="F39">
            <v>2380</v>
          </cell>
          <cell r="G39">
            <v>4400</v>
          </cell>
          <cell r="H39">
            <v>2870</v>
          </cell>
          <cell r="I39">
            <v>5980</v>
          </cell>
          <cell r="J39">
            <v>4310</v>
          </cell>
          <cell r="K39">
            <v>4560</v>
          </cell>
          <cell r="L39">
            <v>4470</v>
          </cell>
          <cell r="M39">
            <v>4350</v>
          </cell>
          <cell r="N39">
            <v>3460</v>
          </cell>
          <cell r="O39">
            <v>4570</v>
          </cell>
          <cell r="P39">
            <v>4250</v>
          </cell>
          <cell r="Q39">
            <v>2600</v>
          </cell>
          <cell r="R39">
            <v>2600</v>
          </cell>
          <cell r="S39" t="str">
            <v>24/11/2025/6</v>
          </cell>
          <cell r="T39">
            <v>4180</v>
          </cell>
          <cell r="U39">
            <v>4070</v>
          </cell>
          <cell r="V39">
            <v>4060</v>
          </cell>
          <cell r="W39">
            <v>4030</v>
          </cell>
          <cell r="X39">
            <v>3860</v>
          </cell>
          <cell r="Y39">
            <v>3580</v>
          </cell>
        </row>
        <row r="41">
          <cell r="F41">
            <v>3770</v>
          </cell>
          <cell r="G41">
            <v>3640</v>
          </cell>
          <cell r="H41">
            <v>3360</v>
          </cell>
          <cell r="J41">
            <v>3690</v>
          </cell>
          <cell r="K41">
            <v>3470</v>
          </cell>
          <cell r="L41">
            <v>3670</v>
          </cell>
          <cell r="M41">
            <v>3800</v>
          </cell>
          <cell r="N41">
            <v>3520</v>
          </cell>
          <cell r="O41">
            <v>3500</v>
          </cell>
          <cell r="P41">
            <v>3420</v>
          </cell>
          <cell r="Q41">
            <v>3690</v>
          </cell>
          <cell r="R41">
            <v>3470</v>
          </cell>
          <cell r="S41">
            <v>3470</v>
          </cell>
          <cell r="T41">
            <v>3440</v>
          </cell>
          <cell r="U41">
            <v>3420</v>
          </cell>
          <cell r="V41">
            <v>3410</v>
          </cell>
          <cell r="W41">
            <v>3490</v>
          </cell>
          <cell r="X41">
            <v>3350</v>
          </cell>
          <cell r="Y41">
            <v>3310</v>
          </cell>
        </row>
        <row r="43">
          <cell r="F43">
            <v>3270</v>
          </cell>
          <cell r="G43">
            <v>3400</v>
          </cell>
          <cell r="H43">
            <v>3310</v>
          </cell>
          <cell r="I43">
            <v>3380</v>
          </cell>
          <cell r="J43">
            <v>3260</v>
          </cell>
          <cell r="K43">
            <v>3230</v>
          </cell>
          <cell r="L43">
            <v>3270</v>
          </cell>
          <cell r="M43">
            <v>3150</v>
          </cell>
          <cell r="N43">
            <v>3180</v>
          </cell>
          <cell r="O43">
            <v>3100</v>
          </cell>
          <cell r="P43">
            <v>3080</v>
          </cell>
          <cell r="Q43">
            <v>3050</v>
          </cell>
          <cell r="R43">
            <v>3190</v>
          </cell>
          <cell r="S43">
            <v>3260</v>
          </cell>
          <cell r="T43">
            <v>3160</v>
          </cell>
          <cell r="U43">
            <v>3010</v>
          </cell>
          <cell r="V43">
            <v>3140</v>
          </cell>
          <cell r="W43">
            <v>3240</v>
          </cell>
          <cell r="X43">
            <v>3200</v>
          </cell>
        </row>
        <row r="45">
          <cell r="F45">
            <v>3120</v>
          </cell>
          <cell r="G45">
            <v>2830</v>
          </cell>
          <cell r="H45">
            <v>2770</v>
          </cell>
          <cell r="I45">
            <v>3010</v>
          </cell>
          <cell r="J45">
            <v>3030</v>
          </cell>
          <cell r="K45">
            <v>3030</v>
          </cell>
          <cell r="L45">
            <v>2870</v>
          </cell>
          <cell r="M45">
            <v>2600</v>
          </cell>
          <cell r="N45">
            <v>2830</v>
          </cell>
          <cell r="O45">
            <v>3040</v>
          </cell>
          <cell r="P45">
            <v>3100</v>
          </cell>
          <cell r="Q45">
            <v>3310</v>
          </cell>
          <cell r="R45">
            <v>3260</v>
          </cell>
          <cell r="S45">
            <v>3120</v>
          </cell>
          <cell r="T45">
            <v>2960</v>
          </cell>
          <cell r="U45">
            <v>2930</v>
          </cell>
          <cell r="V45">
            <v>2950</v>
          </cell>
          <cell r="W45">
            <v>2730</v>
          </cell>
          <cell r="X45">
            <v>2700</v>
          </cell>
        </row>
        <row r="47">
          <cell r="F47">
            <v>2600</v>
          </cell>
          <cell r="G47">
            <v>2630</v>
          </cell>
          <cell r="H47">
            <v>2790</v>
          </cell>
          <cell r="I47">
            <v>2790</v>
          </cell>
          <cell r="J47">
            <v>2880</v>
          </cell>
          <cell r="K47">
            <v>2600</v>
          </cell>
          <cell r="L47">
            <v>2190</v>
          </cell>
          <cell r="M47">
            <v>2730</v>
          </cell>
          <cell r="N47">
            <v>2750</v>
          </cell>
          <cell r="O47">
            <v>2590</v>
          </cell>
          <cell r="P47">
            <v>2520</v>
          </cell>
          <cell r="Q47">
            <v>2550</v>
          </cell>
          <cell r="R47">
            <v>2540</v>
          </cell>
          <cell r="S47">
            <v>2590</v>
          </cell>
          <cell r="T47">
            <v>2350</v>
          </cell>
          <cell r="U47">
            <v>2570</v>
          </cell>
          <cell r="V47">
            <v>2800</v>
          </cell>
          <cell r="W47">
            <v>2810</v>
          </cell>
          <cell r="X47">
            <v>3040</v>
          </cell>
          <cell r="Y47">
            <v>2000</v>
          </cell>
        </row>
        <row r="49">
          <cell r="F49">
            <v>2340</v>
          </cell>
          <cell r="G49">
            <v>2140</v>
          </cell>
          <cell r="H49">
            <v>2200</v>
          </cell>
          <cell r="I49">
            <v>2390</v>
          </cell>
          <cell r="J49">
            <v>2130</v>
          </cell>
          <cell r="K49">
            <v>2700</v>
          </cell>
          <cell r="L49">
            <v>2590</v>
          </cell>
          <cell r="M49">
            <v>2640</v>
          </cell>
          <cell r="N49">
            <v>2330</v>
          </cell>
          <cell r="O49">
            <v>2380</v>
          </cell>
          <cell r="P49">
            <v>2260</v>
          </cell>
          <cell r="Q49">
            <v>2520</v>
          </cell>
          <cell r="R49">
            <v>2260</v>
          </cell>
          <cell r="S49">
            <v>2370</v>
          </cell>
          <cell r="T49">
            <v>2930</v>
          </cell>
          <cell r="U49">
            <v>2880</v>
          </cell>
          <cell r="V49">
            <v>2170</v>
          </cell>
          <cell r="W49">
            <v>2150</v>
          </cell>
          <cell r="X49">
            <v>2220</v>
          </cell>
        </row>
        <row r="56">
          <cell r="F56">
            <v>2130</v>
          </cell>
          <cell r="G56">
            <v>1880</v>
          </cell>
          <cell r="H56">
            <v>1690</v>
          </cell>
          <cell r="I56">
            <v>1540</v>
          </cell>
          <cell r="J56">
            <v>1470</v>
          </cell>
          <cell r="L56">
            <v>1500</v>
          </cell>
          <cell r="M56">
            <v>1490</v>
          </cell>
          <cell r="N56">
            <v>810</v>
          </cell>
          <cell r="O56">
            <v>950</v>
          </cell>
          <cell r="P56">
            <v>960</v>
          </cell>
          <cell r="R56">
            <v>1060</v>
          </cell>
          <cell r="S56">
            <v>1060</v>
          </cell>
          <cell r="T56">
            <v>1060</v>
          </cell>
          <cell r="U56">
            <v>1090</v>
          </cell>
          <cell r="V56">
            <v>1120</v>
          </cell>
          <cell r="X56">
            <v>1190</v>
          </cell>
          <cell r="Y56">
            <v>1250</v>
          </cell>
          <cell r="Z56">
            <v>1520</v>
          </cell>
        </row>
        <row r="57">
          <cell r="F57">
            <v>1310</v>
          </cell>
          <cell r="G57">
            <v>1320</v>
          </cell>
          <cell r="H57">
            <v>1380</v>
          </cell>
          <cell r="I57">
            <v>1440</v>
          </cell>
          <cell r="J57">
            <v>1470</v>
          </cell>
          <cell r="L57">
            <v>1470</v>
          </cell>
          <cell r="M57">
            <v>1530</v>
          </cell>
          <cell r="N57">
            <v>1570</v>
          </cell>
          <cell r="O57">
            <v>1580</v>
          </cell>
          <cell r="P57">
            <v>1670</v>
          </cell>
          <cell r="R57">
            <v>1910</v>
          </cell>
          <cell r="S57">
            <v>1610</v>
          </cell>
          <cell r="T57">
            <v>2010</v>
          </cell>
          <cell r="U57">
            <v>2240</v>
          </cell>
          <cell r="V57">
            <v>1440</v>
          </cell>
        </row>
        <row r="58">
          <cell r="X58" t="str">
            <v>23/11/2025/2</v>
          </cell>
        </row>
        <row r="59">
          <cell r="F59">
            <v>1470</v>
          </cell>
          <cell r="G59">
            <v>1340</v>
          </cell>
          <cell r="H59">
            <v>1320</v>
          </cell>
          <cell r="I59">
            <v>1310</v>
          </cell>
          <cell r="J59">
            <v>1310</v>
          </cell>
          <cell r="L59">
            <v>1210</v>
          </cell>
          <cell r="M59">
            <v>1160</v>
          </cell>
          <cell r="N59">
            <v>1830</v>
          </cell>
          <cell r="O59">
            <v>1620</v>
          </cell>
          <cell r="P59">
            <v>1420</v>
          </cell>
          <cell r="Q59">
            <v>1160</v>
          </cell>
          <cell r="S59">
            <v>1150</v>
          </cell>
          <cell r="T59">
            <v>840</v>
          </cell>
          <cell r="U59">
            <v>550</v>
          </cell>
          <cell r="V59">
            <v>590</v>
          </cell>
          <cell r="W59">
            <v>1760</v>
          </cell>
          <cell r="X59">
            <v>1690</v>
          </cell>
        </row>
        <row r="60">
          <cell r="F60">
            <v>1470</v>
          </cell>
          <cell r="G60">
            <v>1620</v>
          </cell>
          <cell r="H60">
            <v>3200</v>
          </cell>
          <cell r="I60">
            <v>2680</v>
          </cell>
          <cell r="J60">
            <v>2360</v>
          </cell>
          <cell r="L60">
            <v>2420</v>
          </cell>
          <cell r="M60">
            <v>2090</v>
          </cell>
          <cell r="N60">
            <v>2050</v>
          </cell>
          <cell r="O60">
            <v>1880</v>
          </cell>
          <cell r="P60">
            <v>1820</v>
          </cell>
          <cell r="R60">
            <v>1750</v>
          </cell>
          <cell r="T60">
            <v>1700</v>
          </cell>
          <cell r="U60">
            <v>1590</v>
          </cell>
          <cell r="V60">
            <v>1690</v>
          </cell>
          <cell r="W60">
            <v>1560</v>
          </cell>
        </row>
        <row r="61">
          <cell r="K61" t="str">
            <v>11/12/2025/01</v>
          </cell>
        </row>
        <row r="62">
          <cell r="F62">
            <v>970</v>
          </cell>
          <cell r="G62">
            <v>1000</v>
          </cell>
          <cell r="H62">
            <v>1020</v>
          </cell>
          <cell r="I62">
            <v>1160</v>
          </cell>
          <cell r="J62">
            <v>1180</v>
          </cell>
          <cell r="L62">
            <v>1260</v>
          </cell>
          <cell r="M62">
            <v>1260</v>
          </cell>
          <cell r="N62">
            <v>1330</v>
          </cell>
          <cell r="O62">
            <v>1350</v>
          </cell>
          <cell r="P62">
            <v>1350</v>
          </cell>
          <cell r="R62">
            <v>1360</v>
          </cell>
          <cell r="S62">
            <v>1430</v>
          </cell>
          <cell r="T62">
            <v>1300</v>
          </cell>
          <cell r="U62">
            <v>960</v>
          </cell>
          <cell r="V62">
            <v>940</v>
          </cell>
          <cell r="W62">
            <v>1010</v>
          </cell>
        </row>
        <row r="63">
          <cell r="F63">
            <v>1060</v>
          </cell>
          <cell r="G63">
            <v>1370</v>
          </cell>
          <cell r="H63">
            <v>1470</v>
          </cell>
          <cell r="I63">
            <v>1800</v>
          </cell>
          <cell r="J63">
            <v>2180</v>
          </cell>
          <cell r="L63">
            <v>2350</v>
          </cell>
          <cell r="M63">
            <v>2450</v>
          </cell>
          <cell r="N63">
            <v>490</v>
          </cell>
          <cell r="O63">
            <v>480</v>
          </cell>
          <cell r="P63">
            <v>470</v>
          </cell>
          <cell r="R63">
            <v>460</v>
          </cell>
          <cell r="S63" t="str">
            <v>27/11/2025/1</v>
          </cell>
          <cell r="T63">
            <v>410</v>
          </cell>
          <cell r="U63">
            <v>400</v>
          </cell>
          <cell r="V63">
            <v>390</v>
          </cell>
          <cell r="W63">
            <v>520</v>
          </cell>
          <cell r="Y63">
            <v>970</v>
          </cell>
        </row>
        <row r="64">
          <cell r="V64" t="str">
            <v>11/12/2025/07</v>
          </cell>
        </row>
        <row r="65">
          <cell r="F65">
            <v>2630</v>
          </cell>
          <cell r="G65">
            <v>2660</v>
          </cell>
          <cell r="H65">
            <v>2300</v>
          </cell>
          <cell r="I65">
            <v>2140</v>
          </cell>
          <cell r="J65">
            <v>1790</v>
          </cell>
          <cell r="L65">
            <v>1600</v>
          </cell>
          <cell r="M65">
            <v>1160</v>
          </cell>
          <cell r="N65">
            <v>1570</v>
          </cell>
          <cell r="O65">
            <v>1290</v>
          </cell>
          <cell r="P65">
            <v>1250</v>
          </cell>
          <cell r="R65">
            <v>1180</v>
          </cell>
          <cell r="S65">
            <v>1180</v>
          </cell>
          <cell r="T65">
            <v>1170</v>
          </cell>
          <cell r="U65">
            <v>1160</v>
          </cell>
          <cell r="V65">
            <v>1160</v>
          </cell>
        </row>
        <row r="66">
          <cell r="F66">
            <v>1150</v>
          </cell>
          <cell r="G66">
            <v>1110</v>
          </cell>
          <cell r="H66">
            <v>1100</v>
          </cell>
          <cell r="I66">
            <v>1070</v>
          </cell>
          <cell r="J66" t="str">
            <v xml:space="preserve">  </v>
          </cell>
          <cell r="L66">
            <v>960</v>
          </cell>
          <cell r="M66">
            <v>940</v>
          </cell>
          <cell r="N66">
            <v>1020</v>
          </cell>
          <cell r="O66">
            <v>1040</v>
          </cell>
          <cell r="P66">
            <v>1040</v>
          </cell>
          <cell r="R66">
            <v>740</v>
          </cell>
          <cell r="S66">
            <v>980</v>
          </cell>
          <cell r="T66">
            <v>620</v>
          </cell>
          <cell r="U66">
            <v>550</v>
          </cell>
          <cell r="V66">
            <v>520</v>
          </cell>
          <cell r="W66">
            <v>540</v>
          </cell>
          <cell r="X66">
            <v>510</v>
          </cell>
          <cell r="Y66">
            <v>1460</v>
          </cell>
        </row>
        <row r="68">
          <cell r="F68">
            <v>1140</v>
          </cell>
          <cell r="G68">
            <v>370</v>
          </cell>
          <cell r="H68">
            <v>960</v>
          </cell>
          <cell r="I68">
            <v>500</v>
          </cell>
          <cell r="J68">
            <v>530</v>
          </cell>
          <cell r="L68">
            <v>550</v>
          </cell>
          <cell r="M68">
            <v>580</v>
          </cell>
          <cell r="N68">
            <v>580</v>
          </cell>
          <cell r="O68">
            <v>660</v>
          </cell>
          <cell r="P68">
            <v>910</v>
          </cell>
          <cell r="R68">
            <v>1000</v>
          </cell>
          <cell r="S68">
            <v>1010</v>
          </cell>
          <cell r="T68">
            <v>1100</v>
          </cell>
          <cell r="U68">
            <v>1480</v>
          </cell>
          <cell r="V68">
            <v>1320</v>
          </cell>
        </row>
        <row r="69">
          <cell r="F69">
            <v>980</v>
          </cell>
          <cell r="G69">
            <v>550</v>
          </cell>
          <cell r="H69">
            <v>510</v>
          </cell>
          <cell r="I69">
            <v>1430</v>
          </cell>
          <cell r="J69">
            <v>520</v>
          </cell>
          <cell r="L69">
            <v>570</v>
          </cell>
          <cell r="M69">
            <v>450</v>
          </cell>
          <cell r="N69">
            <v>450</v>
          </cell>
          <cell r="O69">
            <v>990</v>
          </cell>
          <cell r="P69">
            <v>880</v>
          </cell>
          <cell r="R69">
            <v>890</v>
          </cell>
          <cell r="S69">
            <v>510</v>
          </cell>
          <cell r="T69">
            <v>1080</v>
          </cell>
          <cell r="U69">
            <v>1080</v>
          </cell>
          <cell r="V69">
            <v>950</v>
          </cell>
        </row>
        <row r="71">
          <cell r="F71" t="str">
            <v>11/16/2025/04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P3">
            <v>1100</v>
          </cell>
          <cell r="Q3">
            <v>1940</v>
          </cell>
          <cell r="R3">
            <v>2000</v>
          </cell>
          <cell r="S3">
            <v>2050</v>
          </cell>
          <cell r="T3">
            <v>3930</v>
          </cell>
          <cell r="U3">
            <v>3950</v>
          </cell>
          <cell r="V3">
            <v>4010</v>
          </cell>
          <cell r="W3">
            <v>4180</v>
          </cell>
          <cell r="X3">
            <v>4260</v>
          </cell>
        </row>
        <row r="4">
          <cell r="E4">
            <v>13460</v>
          </cell>
          <cell r="F4">
            <v>16490</v>
          </cell>
          <cell r="G4">
            <v>15760</v>
          </cell>
          <cell r="H4">
            <v>13410</v>
          </cell>
          <cell r="I4">
            <v>11940</v>
          </cell>
          <cell r="J4">
            <v>12540</v>
          </cell>
          <cell r="K4"/>
          <cell r="M4"/>
          <cell r="O4"/>
        </row>
        <row r="5">
          <cell r="E5">
            <v>5030</v>
          </cell>
          <cell r="F5"/>
          <cell r="G5"/>
          <cell r="H5">
            <v>12920</v>
          </cell>
          <cell r="I5">
            <v>9990</v>
          </cell>
          <cell r="J5"/>
          <cell r="K5"/>
          <cell r="M5"/>
          <cell r="O5"/>
          <cell r="P5">
            <v>4480</v>
          </cell>
          <cell r="Q5">
            <v>6040</v>
          </cell>
          <cell r="R5">
            <v>6070</v>
          </cell>
          <cell r="S5">
            <v>6980</v>
          </cell>
          <cell r="T5">
            <v>7000</v>
          </cell>
          <cell r="U5">
            <v>9910</v>
          </cell>
          <cell r="V5"/>
          <cell r="W5"/>
          <cell r="X5"/>
        </row>
        <row r="6">
          <cell r="D6"/>
          <cell r="E6">
            <v>9520</v>
          </cell>
          <cell r="F6">
            <v>11300</v>
          </cell>
          <cell r="G6">
            <v>10240</v>
          </cell>
          <cell r="H6">
            <v>10570</v>
          </cell>
          <cell r="I6">
            <v>9840</v>
          </cell>
          <cell r="J6">
            <v>10020</v>
          </cell>
        </row>
        <row r="7">
          <cell r="D7"/>
          <cell r="E7">
            <v>9370</v>
          </cell>
          <cell r="F7"/>
          <cell r="G7">
            <v>11180</v>
          </cell>
          <cell r="H7">
            <v>9000</v>
          </cell>
          <cell r="I7">
            <v>9800</v>
          </cell>
          <cell r="J7">
            <v>9660</v>
          </cell>
        </row>
        <row r="8">
          <cell r="D8"/>
          <cell r="E8">
            <v>8000</v>
          </cell>
          <cell r="F8">
            <v>8110</v>
          </cell>
          <cell r="G8">
            <v>7210</v>
          </cell>
          <cell r="H8">
            <v>9110</v>
          </cell>
          <cell r="I8">
            <v>8120</v>
          </cell>
          <cell r="J8">
            <v>8000</v>
          </cell>
          <cell r="K8"/>
        </row>
        <row r="9">
          <cell r="D9"/>
          <cell r="E9">
            <v>8070</v>
          </cell>
          <cell r="F9"/>
          <cell r="G9">
            <v>8400</v>
          </cell>
          <cell r="H9"/>
          <cell r="I9">
            <v>7920</v>
          </cell>
          <cell r="J9"/>
          <cell r="K9"/>
        </row>
        <row r="10">
          <cell r="D10"/>
          <cell r="E10">
            <v>7170</v>
          </cell>
          <cell r="F10">
            <v>3990</v>
          </cell>
          <cell r="G10">
            <v>4890</v>
          </cell>
          <cell r="H10">
            <v>4560</v>
          </cell>
          <cell r="I10">
            <v>3970</v>
          </cell>
          <cell r="J10">
            <v>3270</v>
          </cell>
          <cell r="K10"/>
        </row>
        <row r="11">
          <cell r="D11"/>
          <cell r="E11">
            <v>6670</v>
          </cell>
          <cell r="F11">
            <v>6540</v>
          </cell>
          <cell r="G11">
            <v>5030</v>
          </cell>
          <cell r="H11">
            <v>4480</v>
          </cell>
          <cell r="I11">
            <v>4060</v>
          </cell>
          <cell r="J11">
            <v>3250</v>
          </cell>
          <cell r="K11"/>
        </row>
        <row r="12">
          <cell r="D12"/>
          <cell r="E12"/>
          <cell r="F12"/>
          <cell r="G12"/>
          <cell r="H12"/>
          <cell r="I12">
            <v>3900</v>
          </cell>
          <cell r="J12">
            <v>3240</v>
          </cell>
          <cell r="K12"/>
        </row>
        <row r="13">
          <cell r="D13"/>
          <cell r="E13">
            <v>6990</v>
          </cell>
          <cell r="F13">
            <v>5810</v>
          </cell>
          <cell r="G13">
            <v>5010</v>
          </cell>
          <cell r="H13">
            <v>4070</v>
          </cell>
          <cell r="I13">
            <v>4010</v>
          </cell>
          <cell r="J13">
            <v>3070</v>
          </cell>
          <cell r="K13"/>
        </row>
        <row r="14">
          <cell r="D14"/>
          <cell r="E14">
            <v>6840</v>
          </cell>
          <cell r="F14">
            <v>5970</v>
          </cell>
          <cell r="G14">
            <v>4860</v>
          </cell>
          <cell r="H14">
            <v>4080</v>
          </cell>
          <cell r="I14">
            <v>3730</v>
          </cell>
          <cell r="J14">
            <v>3890</v>
          </cell>
          <cell r="K14"/>
        </row>
        <row r="15">
          <cell r="D15"/>
          <cell r="E15">
            <v>6920</v>
          </cell>
          <cell r="F15">
            <v>6030</v>
          </cell>
          <cell r="G15"/>
          <cell r="H15">
            <v>4050</v>
          </cell>
          <cell r="I15">
            <v>4050</v>
          </cell>
          <cell r="J15"/>
          <cell r="K15"/>
        </row>
        <row r="16">
          <cell r="D16"/>
          <cell r="E16"/>
          <cell r="F16"/>
          <cell r="G16">
            <v>7910</v>
          </cell>
          <cell r="H16">
            <v>4670</v>
          </cell>
          <cell r="I16">
            <v>2990</v>
          </cell>
          <cell r="J16"/>
          <cell r="K16"/>
        </row>
        <row r="17">
          <cell r="K17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</row>
        <row r="21">
          <cell r="D21"/>
          <cell r="E21">
            <v>2870</v>
          </cell>
          <cell r="F21">
            <v>2460</v>
          </cell>
          <cell r="G21">
            <v>2720</v>
          </cell>
          <cell r="H21">
            <v>2930</v>
          </cell>
          <cell r="I21">
            <v>3860</v>
          </cell>
          <cell r="J21">
            <v>3840</v>
          </cell>
          <cell r="K21">
            <v>3960</v>
          </cell>
          <cell r="L21">
            <v>4010</v>
          </cell>
          <cell r="M21">
            <v>4050</v>
          </cell>
          <cell r="N21">
            <v>4220</v>
          </cell>
          <cell r="O21">
            <v>4480</v>
          </cell>
          <cell r="P21">
            <v>4680</v>
          </cell>
          <cell r="Q21">
            <v>4810</v>
          </cell>
          <cell r="R21">
            <v>5190</v>
          </cell>
          <cell r="S21">
            <v>6790</v>
          </cell>
          <cell r="T21">
            <v>8140</v>
          </cell>
          <cell r="U21">
            <v>9710</v>
          </cell>
          <cell r="V21"/>
          <cell r="W21"/>
          <cell r="X21"/>
        </row>
        <row r="22">
          <cell r="D22"/>
          <cell r="E22">
            <v>9850</v>
          </cell>
          <cell r="F22">
            <v>8040</v>
          </cell>
          <cell r="G22">
            <v>8030</v>
          </cell>
          <cell r="H22">
            <v>7590</v>
          </cell>
          <cell r="I22">
            <v>7330</v>
          </cell>
          <cell r="J22">
            <v>6050</v>
          </cell>
          <cell r="K22">
            <v>5890</v>
          </cell>
          <cell r="L22">
            <v>5850</v>
          </cell>
          <cell r="M22">
            <v>5210</v>
          </cell>
          <cell r="N22">
            <v>5010</v>
          </cell>
          <cell r="O22">
            <v>5000</v>
          </cell>
          <cell r="P22">
            <v>4980</v>
          </cell>
          <cell r="Q22">
            <v>4100</v>
          </cell>
          <cell r="R22">
            <v>3970</v>
          </cell>
          <cell r="S22">
            <v>3120</v>
          </cell>
          <cell r="T22">
            <v>3090</v>
          </cell>
          <cell r="U22">
            <v>2990</v>
          </cell>
          <cell r="V22">
            <v>2850</v>
          </cell>
          <cell r="W22"/>
          <cell r="X22"/>
        </row>
        <row r="23">
          <cell r="D23"/>
          <cell r="E23">
            <v>5320</v>
          </cell>
          <cell r="F23">
            <v>5050</v>
          </cell>
          <cell r="G23">
            <v>3820</v>
          </cell>
          <cell r="H23">
            <v>2680</v>
          </cell>
          <cell r="I23">
            <v>2100</v>
          </cell>
          <cell r="J23">
            <v>2030</v>
          </cell>
          <cell r="K23">
            <v>1870</v>
          </cell>
          <cell r="L23">
            <v>1750</v>
          </cell>
          <cell r="M23"/>
          <cell r="N23">
            <v>1660</v>
          </cell>
          <cell r="O23">
            <v>1290</v>
          </cell>
          <cell r="P23"/>
          <cell r="Q23">
            <v>1160</v>
          </cell>
          <cell r="R23">
            <v>1040</v>
          </cell>
          <cell r="S23"/>
          <cell r="T23"/>
          <cell r="U23"/>
          <cell r="V23"/>
          <cell r="W23"/>
          <cell r="X23"/>
        </row>
        <row r="24"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</row>
        <row r="29">
          <cell r="D29" t="str">
            <v>ANAK</v>
          </cell>
          <cell r="E29">
            <v>2030</v>
          </cell>
          <cell r="F29">
            <v>1980</v>
          </cell>
          <cell r="G29">
            <v>2000</v>
          </cell>
          <cell r="H29">
            <v>2000</v>
          </cell>
          <cell r="I29">
            <v>2880</v>
          </cell>
          <cell r="J29">
            <v>2920</v>
          </cell>
          <cell r="K29">
            <v>2980</v>
          </cell>
          <cell r="L29"/>
          <cell r="M29">
            <v>3000</v>
          </cell>
          <cell r="N29"/>
          <cell r="O29"/>
          <cell r="P29"/>
          <cell r="Q29"/>
          <cell r="R29"/>
          <cell r="S29"/>
          <cell r="T29"/>
        </row>
        <row r="30"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</row>
        <row r="31">
          <cell r="D31" t="str">
            <v>TMPR</v>
          </cell>
          <cell r="E31">
            <v>1580</v>
          </cell>
          <cell r="F31">
            <v>1580</v>
          </cell>
          <cell r="G31">
            <v>1990</v>
          </cell>
          <cell r="H31">
            <v>2830</v>
          </cell>
          <cell r="I31">
            <v>2940</v>
          </cell>
          <cell r="J31">
            <v>3020</v>
          </cell>
          <cell r="K31">
            <v>3030</v>
          </cell>
          <cell r="L31">
            <v>3890</v>
          </cell>
          <cell r="M31">
            <v>4150</v>
          </cell>
          <cell r="N31">
            <v>4160</v>
          </cell>
          <cell r="O31">
            <v>4890</v>
          </cell>
          <cell r="P31"/>
          <cell r="Q31"/>
          <cell r="R31"/>
          <cell r="S31"/>
          <cell r="T31"/>
        </row>
        <row r="32">
          <cell r="D32"/>
          <cell r="E32">
            <v>5010</v>
          </cell>
          <cell r="F32">
            <v>5080</v>
          </cell>
          <cell r="G32">
            <v>5240</v>
          </cell>
          <cell r="H32">
            <v>5730</v>
          </cell>
          <cell r="I32">
            <v>6060</v>
          </cell>
          <cell r="J32">
            <v>6800</v>
          </cell>
          <cell r="K32">
            <v>6890</v>
          </cell>
          <cell r="L32">
            <v>6930</v>
          </cell>
          <cell r="M32">
            <v>7070</v>
          </cell>
          <cell r="N32"/>
          <cell r="O32"/>
          <cell r="P32"/>
          <cell r="Q32"/>
          <cell r="R32"/>
          <cell r="S32"/>
          <cell r="T32"/>
        </row>
        <row r="33"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</row>
        <row r="34">
          <cell r="D34" t="str">
            <v>ITALI</v>
          </cell>
          <cell r="E34">
            <v>1940</v>
          </cell>
          <cell r="F34">
            <v>2020</v>
          </cell>
          <cell r="G34">
            <v>2900</v>
          </cell>
          <cell r="H34">
            <v>2910</v>
          </cell>
          <cell r="I34">
            <v>3600</v>
          </cell>
          <cell r="J34"/>
          <cell r="K34">
            <v>3690</v>
          </cell>
          <cell r="L34">
            <v>4040</v>
          </cell>
          <cell r="M34">
            <v>4820</v>
          </cell>
          <cell r="N34">
            <v>4930</v>
          </cell>
          <cell r="O34">
            <v>4980</v>
          </cell>
          <cell r="P34"/>
          <cell r="Q34"/>
          <cell r="R34"/>
          <cell r="S34"/>
          <cell r="T34"/>
        </row>
        <row r="35">
          <cell r="D35"/>
          <cell r="E35">
            <v>5050</v>
          </cell>
          <cell r="F35">
            <v>5500</v>
          </cell>
          <cell r="G35">
            <v>5910</v>
          </cell>
          <cell r="H35">
            <v>6820</v>
          </cell>
          <cell r="I35">
            <v>8080</v>
          </cell>
          <cell r="J35">
            <v>8090</v>
          </cell>
          <cell r="K35">
            <v>9460</v>
          </cell>
          <cell r="L35">
            <v>9610</v>
          </cell>
          <cell r="M35">
            <v>10120</v>
          </cell>
          <cell r="N35">
            <v>12070</v>
          </cell>
          <cell r="O35"/>
          <cell r="P35"/>
          <cell r="Q35"/>
          <cell r="R35"/>
          <cell r="S35"/>
          <cell r="T35"/>
        </row>
        <row r="36">
          <cell r="D36" t="str">
            <v>MLNO</v>
          </cell>
          <cell r="E36">
            <v>1820</v>
          </cell>
          <cell r="F36">
            <v>1890</v>
          </cell>
          <cell r="G36">
            <v>2000</v>
          </cell>
          <cell r="H36"/>
          <cell r="I36">
            <v>2590</v>
          </cell>
          <cell r="J36">
            <v>2800</v>
          </cell>
          <cell r="K36">
            <v>2900</v>
          </cell>
          <cell r="L36">
            <v>2930</v>
          </cell>
          <cell r="M36">
            <v>3050</v>
          </cell>
          <cell r="N36">
            <v>3050</v>
          </cell>
          <cell r="O36">
            <v>3100</v>
          </cell>
          <cell r="P36">
            <v>3130</v>
          </cell>
          <cell r="Q36">
            <v>3570</v>
          </cell>
          <cell r="R36">
            <v>3750</v>
          </cell>
          <cell r="S36">
            <v>3760</v>
          </cell>
          <cell r="T36">
            <v>3840</v>
          </cell>
        </row>
        <row r="37">
          <cell r="D37"/>
          <cell r="E37">
            <v>4020</v>
          </cell>
          <cell r="F37">
            <v>4050</v>
          </cell>
          <cell r="G37">
            <v>4120</v>
          </cell>
          <cell r="H37">
            <v>4610</v>
          </cell>
          <cell r="I37">
            <v>4890</v>
          </cell>
          <cell r="J37">
            <v>5040</v>
          </cell>
          <cell r="K37">
            <v>5060</v>
          </cell>
          <cell r="L37">
            <v>5200</v>
          </cell>
          <cell r="M37">
            <v>5720</v>
          </cell>
          <cell r="N37">
            <v>5880</v>
          </cell>
          <cell r="O37">
            <v>6850</v>
          </cell>
          <cell r="P37">
            <v>7030</v>
          </cell>
          <cell r="Q37">
            <v>7580</v>
          </cell>
          <cell r="R37">
            <v>9920</v>
          </cell>
          <cell r="S37">
            <v>10120</v>
          </cell>
          <cell r="T37">
            <v>10000</v>
          </cell>
        </row>
        <row r="38">
          <cell r="Q38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D4">
            <v>1900</v>
          </cell>
          <cell r="E4"/>
          <cell r="F4">
            <v>2830</v>
          </cell>
          <cell r="G4">
            <v>2390</v>
          </cell>
          <cell r="H4">
            <v>1910</v>
          </cell>
          <cell r="I4">
            <v>5090</v>
          </cell>
          <cell r="J4">
            <v>2370</v>
          </cell>
          <cell r="K4"/>
          <cell r="L4"/>
          <cell r="M4"/>
          <cell r="N4"/>
          <cell r="O4">
            <v>1280</v>
          </cell>
          <cell r="P4">
            <v>1430</v>
          </cell>
          <cell r="Q4">
            <v>1570</v>
          </cell>
          <cell r="R4">
            <v>1620</v>
          </cell>
          <cell r="S4">
            <v>1810</v>
          </cell>
          <cell r="T4">
            <v>1690</v>
          </cell>
          <cell r="U4">
            <v>1630</v>
          </cell>
          <cell r="V4"/>
          <cell r="W4"/>
          <cell r="X4"/>
          <cell r="Y4"/>
          <cell r="Z4"/>
          <cell r="AA4"/>
          <cell r="AB4"/>
          <cell r="AC4"/>
          <cell r="AD4"/>
        </row>
        <row r="5"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</row>
        <row r="6">
          <cell r="D6">
            <v>6480</v>
          </cell>
          <cell r="E6">
            <v>6390</v>
          </cell>
          <cell r="F6">
            <v>5930</v>
          </cell>
          <cell r="G6">
            <v>5830</v>
          </cell>
          <cell r="H6">
            <v>5820</v>
          </cell>
          <cell r="I6">
            <v>5830</v>
          </cell>
          <cell r="J6">
            <v>5630</v>
          </cell>
          <cell r="K6"/>
          <cell r="L6">
            <v>5530</v>
          </cell>
          <cell r="M6"/>
          <cell r="N6">
            <v>5400</v>
          </cell>
          <cell r="O6">
            <v>5140</v>
          </cell>
          <cell r="P6">
            <v>4830</v>
          </cell>
          <cell r="Q6">
            <v>4810</v>
          </cell>
          <cell r="R6"/>
          <cell r="S6">
            <v>4760</v>
          </cell>
          <cell r="T6">
            <v>4730</v>
          </cell>
          <cell r="U6">
            <v>4550</v>
          </cell>
          <cell r="V6">
            <v>4510</v>
          </cell>
          <cell r="W6">
            <v>4500</v>
          </cell>
          <cell r="X6">
            <v>4410</v>
          </cell>
          <cell r="Y6">
            <v>4380</v>
          </cell>
          <cell r="Z6"/>
          <cell r="AA6"/>
          <cell r="AB6"/>
          <cell r="AC6"/>
        </row>
        <row r="7"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</row>
        <row r="8">
          <cell r="D8">
            <v>4330</v>
          </cell>
          <cell r="E8">
            <v>4180</v>
          </cell>
          <cell r="F8">
            <v>4130</v>
          </cell>
          <cell r="G8"/>
          <cell r="H8">
            <v>4100</v>
          </cell>
          <cell r="I8">
            <v>4070</v>
          </cell>
          <cell r="J8">
            <v>5010</v>
          </cell>
          <cell r="K8">
            <v>4040</v>
          </cell>
          <cell r="L8">
            <v>4050</v>
          </cell>
          <cell r="M8">
            <v>4020</v>
          </cell>
          <cell r="N8">
            <v>4010</v>
          </cell>
          <cell r="O8">
            <v>3870</v>
          </cell>
          <cell r="P8">
            <v>3680</v>
          </cell>
          <cell r="Q8">
            <v>3800</v>
          </cell>
          <cell r="R8">
            <v>3780</v>
          </cell>
          <cell r="S8"/>
          <cell r="T8">
            <v>3630</v>
          </cell>
          <cell r="U8">
            <v>3610</v>
          </cell>
          <cell r="V8">
            <v>3580</v>
          </cell>
          <cell r="W8">
            <v>3490</v>
          </cell>
          <cell r="X8">
            <v>3310</v>
          </cell>
          <cell r="Y8">
            <v>3440</v>
          </cell>
          <cell r="Z8">
            <v>3810</v>
          </cell>
          <cell r="AA8"/>
          <cell r="AB8">
            <v>3630</v>
          </cell>
          <cell r="AC8"/>
          <cell r="AD8"/>
        </row>
        <row r="9"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</row>
        <row r="10">
          <cell r="D10">
            <v>3330</v>
          </cell>
          <cell r="E10"/>
          <cell r="F10">
            <v>3210</v>
          </cell>
          <cell r="G10">
            <v>3120</v>
          </cell>
          <cell r="H10">
            <v>3030</v>
          </cell>
          <cell r="I10">
            <v>3020</v>
          </cell>
          <cell r="J10">
            <v>2940</v>
          </cell>
          <cell r="K10">
            <v>2520</v>
          </cell>
          <cell r="L10">
            <v>2710</v>
          </cell>
          <cell r="M10">
            <v>2670</v>
          </cell>
          <cell r="N10">
            <v>2530</v>
          </cell>
          <cell r="O10">
            <v>2580</v>
          </cell>
          <cell r="P10">
            <v>2430</v>
          </cell>
          <cell r="Q10">
            <v>2320</v>
          </cell>
          <cell r="R10">
            <v>2140</v>
          </cell>
          <cell r="S10"/>
          <cell r="T10"/>
          <cell r="U10">
            <v>2040</v>
          </cell>
          <cell r="V10">
            <v>1990</v>
          </cell>
          <cell r="W10">
            <v>1920</v>
          </cell>
          <cell r="X10">
            <v>1910</v>
          </cell>
          <cell r="Y10"/>
          <cell r="Z10"/>
          <cell r="AA10"/>
          <cell r="AB10"/>
          <cell r="AC10"/>
          <cell r="AD10"/>
        </row>
        <row r="11">
          <cell r="D11"/>
          <cell r="E11"/>
          <cell r="F11"/>
          <cell r="G11"/>
          <cell r="H11"/>
          <cell r="I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</row>
        <row r="13">
          <cell r="D13"/>
          <cell r="E13"/>
          <cell r="F13">
            <v>700</v>
          </cell>
          <cell r="G13">
            <v>950</v>
          </cell>
          <cell r="H13">
            <v>950</v>
          </cell>
          <cell r="I13">
            <v>920</v>
          </cell>
          <cell r="J13">
            <v>1020</v>
          </cell>
          <cell r="K13">
            <v>1030</v>
          </cell>
          <cell r="L13">
            <v>1050</v>
          </cell>
          <cell r="M13">
            <v>1060</v>
          </cell>
          <cell r="N13"/>
          <cell r="O13">
            <v>1390</v>
          </cell>
          <cell r="P13">
            <v>1700</v>
          </cell>
          <cell r="Q13">
            <v>2120</v>
          </cell>
          <cell r="R13">
            <v>840</v>
          </cell>
          <cell r="S13">
            <v>860</v>
          </cell>
          <cell r="T13">
            <v>880</v>
          </cell>
          <cell r="U13">
            <v>770</v>
          </cell>
          <cell r="V13"/>
          <cell r="W13">
            <v>870</v>
          </cell>
          <cell r="X13">
            <v>800</v>
          </cell>
          <cell r="Y13"/>
          <cell r="Z13"/>
          <cell r="AA13">
            <v>1010</v>
          </cell>
          <cell r="AB13">
            <v>1010</v>
          </cell>
          <cell r="AC13"/>
        </row>
        <row r="14">
          <cell r="D14"/>
          <cell r="E14">
            <v>920</v>
          </cell>
          <cell r="F14">
            <v>900</v>
          </cell>
          <cell r="G14">
            <v>870</v>
          </cell>
          <cell r="H14">
            <v>1020</v>
          </cell>
          <cell r="I14">
            <v>1030</v>
          </cell>
          <cell r="J14">
            <v>1070</v>
          </cell>
          <cell r="K14">
            <v>1090</v>
          </cell>
          <cell r="L14">
            <v>1030</v>
          </cell>
          <cell r="M14">
            <v>1020</v>
          </cell>
          <cell r="N14"/>
          <cell r="O14">
            <v>1090</v>
          </cell>
          <cell r="P14">
            <v>1170</v>
          </cell>
          <cell r="Q14">
            <v>1190</v>
          </cell>
          <cell r="R14">
            <v>1120</v>
          </cell>
          <cell r="S14">
            <v>1250</v>
          </cell>
          <cell r="T14"/>
          <cell r="U14">
            <v>1270</v>
          </cell>
          <cell r="V14">
            <v>1270</v>
          </cell>
          <cell r="W14">
            <v>1290</v>
          </cell>
          <cell r="X14">
            <v>1320</v>
          </cell>
          <cell r="Y14"/>
          <cell r="Z14"/>
          <cell r="AA14"/>
          <cell r="AB14">
            <v>1560</v>
          </cell>
          <cell r="AC14">
            <v>1680</v>
          </cell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</row>
        <row r="16">
          <cell r="D16"/>
          <cell r="E16">
            <v>790</v>
          </cell>
          <cell r="F16">
            <v>830</v>
          </cell>
          <cell r="G16">
            <v>1100</v>
          </cell>
          <cell r="H16">
            <v>880</v>
          </cell>
          <cell r="I16"/>
          <cell r="J16">
            <v>790</v>
          </cell>
          <cell r="K16">
            <v>760</v>
          </cell>
          <cell r="L16">
            <v>710</v>
          </cell>
          <cell r="M16">
            <v>530</v>
          </cell>
          <cell r="N16"/>
          <cell r="O16">
            <v>550</v>
          </cell>
          <cell r="P16">
            <v>900</v>
          </cell>
          <cell r="Q16">
            <v>1020</v>
          </cell>
          <cell r="R16"/>
          <cell r="S16"/>
          <cell r="T16">
            <v>570</v>
          </cell>
          <cell r="U16">
            <v>950</v>
          </cell>
          <cell r="V16">
            <v>1210</v>
          </cell>
          <cell r="W16">
            <v>1180</v>
          </cell>
          <cell r="X16">
            <v>1170</v>
          </cell>
          <cell r="Y16">
            <v>1210</v>
          </cell>
          <cell r="Z16">
            <v>2010</v>
          </cell>
          <cell r="AA16">
            <v>1810</v>
          </cell>
          <cell r="AB16"/>
          <cell r="AC16"/>
        </row>
        <row r="17">
          <cell r="D17"/>
          <cell r="E17">
            <v>1800</v>
          </cell>
          <cell r="F17">
            <v>1800</v>
          </cell>
          <cell r="G17">
            <v>1750</v>
          </cell>
          <cell r="H17">
            <v>1690</v>
          </cell>
          <cell r="I17"/>
          <cell r="J17">
            <v>1680</v>
          </cell>
          <cell r="K17"/>
          <cell r="L17">
            <v>1640</v>
          </cell>
          <cell r="M17">
            <v>1640</v>
          </cell>
          <cell r="N17"/>
          <cell r="O17">
            <v>1610</v>
          </cell>
          <cell r="P17">
            <v>1600</v>
          </cell>
          <cell r="Q17">
            <v>1600</v>
          </cell>
          <cell r="R17">
            <v>1600</v>
          </cell>
          <cell r="S17">
            <v>1610</v>
          </cell>
          <cell r="T17"/>
          <cell r="U17">
            <v>1580</v>
          </cell>
          <cell r="V17">
            <v>1460</v>
          </cell>
          <cell r="W17"/>
          <cell r="X17"/>
          <cell r="Y17"/>
          <cell r="Z17"/>
          <cell r="AA17"/>
          <cell r="AB17"/>
          <cell r="AC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</row>
        <row r="19">
          <cell r="D19">
            <v>1070</v>
          </cell>
          <cell r="E19">
            <v>1580</v>
          </cell>
          <cell r="F19">
            <v>1560</v>
          </cell>
          <cell r="G19">
            <v>1560</v>
          </cell>
          <cell r="H19"/>
          <cell r="J19">
            <v>1540</v>
          </cell>
          <cell r="K19"/>
          <cell r="L19">
            <v>1530</v>
          </cell>
          <cell r="M19">
            <v>1520</v>
          </cell>
          <cell r="N19"/>
          <cell r="O19">
            <v>1490</v>
          </cell>
          <cell r="P19">
            <v>1480</v>
          </cell>
          <cell r="Q19">
            <v>1460</v>
          </cell>
          <cell r="R19">
            <v>1450</v>
          </cell>
          <cell r="S19"/>
          <cell r="T19">
            <v>1420</v>
          </cell>
          <cell r="U19">
            <v>1370</v>
          </cell>
          <cell r="V19">
            <v>1190</v>
          </cell>
          <cell r="W19">
            <v>1350</v>
          </cell>
          <cell r="X19">
            <v>1350</v>
          </cell>
          <cell r="Y19">
            <v>1330</v>
          </cell>
          <cell r="Z19">
            <v>1460</v>
          </cell>
          <cell r="AA19"/>
          <cell r="AB19"/>
          <cell r="AC19"/>
        </row>
        <row r="20">
          <cell r="D20"/>
          <cell r="E20"/>
          <cell r="F20">
            <v>1530</v>
          </cell>
          <cell r="G20">
            <v>1250</v>
          </cell>
          <cell r="H20">
            <v>1180</v>
          </cell>
          <cell r="I20"/>
          <cell r="J20">
            <v>2000</v>
          </cell>
          <cell r="K20">
            <v>1670</v>
          </cell>
          <cell r="L20">
            <v>1450</v>
          </cell>
          <cell r="M20">
            <v>1150</v>
          </cell>
          <cell r="N20"/>
          <cell r="O20">
            <v>1150</v>
          </cell>
          <cell r="P20">
            <v>1180</v>
          </cell>
          <cell r="Q20"/>
          <cell r="R20">
            <v>1040</v>
          </cell>
          <cell r="S20"/>
          <cell r="T20">
            <v>1050</v>
          </cell>
          <cell r="U20">
            <v>1670</v>
          </cell>
          <cell r="V20">
            <v>930</v>
          </cell>
          <cell r="W20"/>
          <cell r="X20"/>
          <cell r="Y20"/>
          <cell r="Z20"/>
          <cell r="AA20"/>
          <cell r="AB20"/>
          <cell r="AC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</row>
        <row r="22">
          <cell r="D22"/>
          <cell r="E22">
            <v>2430</v>
          </cell>
          <cell r="F22">
            <v>1590</v>
          </cell>
          <cell r="G22">
            <v>950</v>
          </cell>
          <cell r="H22">
            <v>530</v>
          </cell>
          <cell r="I22">
            <v>440</v>
          </cell>
          <cell r="J22">
            <v>400</v>
          </cell>
          <cell r="K22">
            <v>390</v>
          </cell>
          <cell r="L22">
            <v>1350</v>
          </cell>
          <cell r="M22">
            <v>1050</v>
          </cell>
          <cell r="O22">
            <v>1020</v>
          </cell>
          <cell r="P22">
            <v>990</v>
          </cell>
          <cell r="Q22">
            <v>580</v>
          </cell>
          <cell r="R22">
            <v>530</v>
          </cell>
          <cell r="S22">
            <v>560</v>
          </cell>
          <cell r="T22">
            <v>1180</v>
          </cell>
          <cell r="U22">
            <v>1020</v>
          </cell>
          <cell r="V22">
            <v>1180</v>
          </cell>
          <cell r="W22"/>
          <cell r="X22">
            <v>930</v>
          </cell>
          <cell r="Y22">
            <v>810</v>
          </cell>
          <cell r="Z22"/>
          <cell r="AA22"/>
          <cell r="AB22">
            <v>1020</v>
          </cell>
          <cell r="AC22">
            <v>360</v>
          </cell>
        </row>
        <row r="23">
          <cell r="D23"/>
          <cell r="E23"/>
          <cell r="F23"/>
          <cell r="G23"/>
          <cell r="H23"/>
          <cell r="I23"/>
          <cell r="J23"/>
          <cell r="K23"/>
          <cell r="L23">
            <v>950</v>
          </cell>
          <cell r="M23">
            <v>890</v>
          </cell>
          <cell r="N23"/>
          <cell r="O23">
            <v>1000</v>
          </cell>
          <cell r="P23">
            <v>1140</v>
          </cell>
          <cell r="Q23"/>
          <cell r="R23">
            <v>1930</v>
          </cell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</row>
        <row r="24">
          <cell r="D24"/>
          <cell r="E24">
            <v>450</v>
          </cell>
          <cell r="F24">
            <v>530</v>
          </cell>
          <cell r="G24">
            <v>520</v>
          </cell>
          <cell r="H24">
            <v>520</v>
          </cell>
          <cell r="I24">
            <v>440</v>
          </cell>
          <cell r="J24"/>
          <cell r="K24"/>
          <cell r="L24"/>
          <cell r="M24"/>
          <cell r="N24"/>
          <cell r="O24"/>
          <cell r="P24"/>
          <cell r="Q24"/>
          <cell r="R24"/>
          <cell r="T24"/>
          <cell r="U24"/>
          <cell r="V24"/>
          <cell r="W24"/>
          <cell r="X24"/>
          <cell r="Y24"/>
          <cell r="Z24"/>
          <cell r="AA24"/>
          <cell r="AB24"/>
          <cell r="AC24"/>
        </row>
        <row r="25">
          <cell r="D25"/>
          <cell r="E25">
            <v>830</v>
          </cell>
          <cell r="F25">
            <v>760</v>
          </cell>
          <cell r="G25">
            <v>950</v>
          </cell>
          <cell r="H25">
            <v>1130</v>
          </cell>
          <cell r="I25">
            <v>1030</v>
          </cell>
          <cell r="J25"/>
          <cell r="K25">
            <v>1040</v>
          </cell>
          <cell r="L25">
            <v>880</v>
          </cell>
          <cell r="M25">
            <v>1560</v>
          </cell>
          <cell r="N25"/>
          <cell r="O25">
            <v>1470</v>
          </cell>
          <cell r="P25"/>
          <cell r="Q25">
            <v>830</v>
          </cell>
          <cell r="R25">
            <v>910</v>
          </cell>
          <cell r="S25"/>
          <cell r="T25">
            <v>920</v>
          </cell>
          <cell r="U25">
            <v>920</v>
          </cell>
          <cell r="V25"/>
          <cell r="W25">
            <v>560</v>
          </cell>
          <cell r="X25">
            <v>560</v>
          </cell>
          <cell r="Y25">
            <v>540</v>
          </cell>
          <cell r="Z25">
            <v>550</v>
          </cell>
          <cell r="AA25">
            <v>550</v>
          </cell>
          <cell r="AB25">
            <v>570</v>
          </cell>
          <cell r="AC25"/>
        </row>
        <row r="26">
          <cell r="D26"/>
          <cell r="E26"/>
          <cell r="F26" t="str">
            <v>KOKOT 6</v>
          </cell>
          <cell r="G26"/>
          <cell r="H26" t="str">
            <v>ANU GIWANG</v>
          </cell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</row>
        <row r="33"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</row>
        <row r="34"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</row>
        <row r="35"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</row>
        <row r="36">
          <cell r="D36"/>
          <cell r="E36">
            <v>2310</v>
          </cell>
          <cell r="F36">
            <v>2420</v>
          </cell>
          <cell r="G36">
            <v>2760</v>
          </cell>
          <cell r="H36"/>
          <cell r="I36">
            <v>2330</v>
          </cell>
          <cell r="J36">
            <v>2450</v>
          </cell>
          <cell r="K36">
            <v>2200</v>
          </cell>
          <cell r="L36">
            <v>3000</v>
          </cell>
          <cell r="M36">
            <v>2770</v>
          </cell>
          <cell r="N36"/>
          <cell r="O36">
            <v>2860</v>
          </cell>
          <cell r="P36"/>
          <cell r="Q36">
            <v>3030</v>
          </cell>
          <cell r="R36">
            <v>3410</v>
          </cell>
          <cell r="S36">
            <v>3710</v>
          </cell>
          <cell r="T36">
            <v>3770</v>
          </cell>
          <cell r="U36"/>
          <cell r="V36">
            <v>3820</v>
          </cell>
          <cell r="W36">
            <v>4980</v>
          </cell>
          <cell r="X36">
            <v>4130</v>
          </cell>
          <cell r="Y36"/>
          <cell r="Z36"/>
        </row>
        <row r="37"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</row>
        <row r="38">
          <cell r="D38"/>
          <cell r="E38">
            <v>5110</v>
          </cell>
          <cell r="F38">
            <v>5130</v>
          </cell>
          <cell r="G38">
            <v>6090</v>
          </cell>
          <cell r="H38"/>
          <cell r="I38"/>
          <cell r="J38">
            <v>7090</v>
          </cell>
          <cell r="K38">
            <v>6980</v>
          </cell>
          <cell r="L38">
            <v>7070</v>
          </cell>
          <cell r="M38">
            <v>7830</v>
          </cell>
          <cell r="N38">
            <v>7800</v>
          </cell>
          <cell r="O38">
            <v>8110</v>
          </cell>
          <cell r="P38">
            <v>9930</v>
          </cell>
          <cell r="Q38">
            <v>9970</v>
          </cell>
          <cell r="R38">
            <v>9910</v>
          </cell>
          <cell r="S38"/>
          <cell r="T38">
            <v>9900</v>
          </cell>
          <cell r="U38">
            <v>10400</v>
          </cell>
          <cell r="V38"/>
          <cell r="W38"/>
          <cell r="X38"/>
          <cell r="Y38"/>
          <cell r="Z38"/>
        </row>
        <row r="39">
          <cell r="H39"/>
          <cell r="I39"/>
          <cell r="J39"/>
          <cell r="K39"/>
          <cell r="L39"/>
          <cell r="M39"/>
          <cell r="N39"/>
        </row>
        <row r="42">
          <cell r="D42">
            <v>2600</v>
          </cell>
          <cell r="E42">
            <v>9900</v>
          </cell>
          <cell r="F42">
            <v>8510</v>
          </cell>
          <cell r="G42">
            <v>7880</v>
          </cell>
          <cell r="H42">
            <v>7550</v>
          </cell>
          <cell r="I42">
            <v>7030</v>
          </cell>
          <cell r="J42">
            <v>7010</v>
          </cell>
          <cell r="K42">
            <v>7010</v>
          </cell>
          <cell r="L42">
            <v>6830</v>
          </cell>
          <cell r="M42"/>
          <cell r="N42">
            <v>6000</v>
          </cell>
          <cell r="O42">
            <v>5940</v>
          </cell>
          <cell r="P42">
            <v>5700</v>
          </cell>
          <cell r="Q42">
            <v>5620</v>
          </cell>
          <cell r="R42">
            <v>5540</v>
          </cell>
          <cell r="S42">
            <v>5460</v>
          </cell>
          <cell r="T42">
            <v>5060</v>
          </cell>
          <cell r="U42">
            <v>4910</v>
          </cell>
          <cell r="V42">
            <v>4680</v>
          </cell>
          <cell r="W42"/>
          <cell r="X42"/>
          <cell r="Y42"/>
          <cell r="Z42"/>
        </row>
        <row r="43"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</row>
        <row r="44">
          <cell r="D44">
            <v>4500</v>
          </cell>
          <cell r="E44">
            <v>3910</v>
          </cell>
          <cell r="F44">
            <v>3870</v>
          </cell>
          <cell r="G44">
            <v>3870</v>
          </cell>
          <cell r="H44">
            <v>3680</v>
          </cell>
          <cell r="I44"/>
          <cell r="J44">
            <v>3270</v>
          </cell>
          <cell r="K44">
            <v>3020</v>
          </cell>
          <cell r="L44">
            <v>2990</v>
          </cell>
          <cell r="M44"/>
          <cell r="N44">
            <v>2960</v>
          </cell>
          <cell r="O44">
            <v>2860</v>
          </cell>
          <cell r="P44">
            <v>2820</v>
          </cell>
          <cell r="Q44">
            <v>2550</v>
          </cell>
          <cell r="R44">
            <v>2100</v>
          </cell>
          <cell r="S44">
            <v>2040</v>
          </cell>
          <cell r="T44">
            <v>2140</v>
          </cell>
          <cell r="U44">
            <v>2020</v>
          </cell>
          <cell r="V44">
            <v>2010</v>
          </cell>
          <cell r="W44">
            <v>1900</v>
          </cell>
          <cell r="X44">
            <v>1860</v>
          </cell>
          <cell r="Y44">
            <v>1950</v>
          </cell>
          <cell r="Z44">
            <v>1820</v>
          </cell>
        </row>
        <row r="45"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</row>
        <row r="46">
          <cell r="D46"/>
          <cell r="E46">
            <v>1580</v>
          </cell>
          <cell r="F46"/>
          <cell r="G46"/>
          <cell r="H46">
            <v>2750</v>
          </cell>
          <cell r="I46">
            <v>1620</v>
          </cell>
          <cell r="J46">
            <v>1640</v>
          </cell>
          <cell r="K46"/>
          <cell r="L46"/>
          <cell r="M46">
            <v>2140</v>
          </cell>
          <cell r="N46"/>
          <cell r="O46">
            <v>2880</v>
          </cell>
          <cell r="P46">
            <v>2830</v>
          </cell>
          <cell r="Q46">
            <v>3130</v>
          </cell>
          <cell r="R46"/>
          <cell r="S46">
            <v>2470</v>
          </cell>
          <cell r="T46">
            <v>2130</v>
          </cell>
          <cell r="U46">
            <v>2130</v>
          </cell>
          <cell r="V46">
            <v>2130</v>
          </cell>
          <cell r="W46"/>
          <cell r="X46">
            <v>2450</v>
          </cell>
          <cell r="Y46">
            <v>1180</v>
          </cell>
          <cell r="Z46">
            <v>1180</v>
          </cell>
        </row>
        <row r="47">
          <cell r="D47"/>
          <cell r="E47"/>
          <cell r="F47"/>
          <cell r="G47"/>
          <cell r="H47"/>
          <cell r="I47"/>
          <cell r="J47"/>
          <cell r="K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D4"/>
          <cell r="E4">
            <v>21880</v>
          </cell>
          <cell r="F4">
            <v>16470</v>
          </cell>
          <cell r="G4">
            <v>12640</v>
          </cell>
          <cell r="H4">
            <v>12430</v>
          </cell>
          <cell r="I4">
            <v>12160</v>
          </cell>
          <cell r="J4">
            <v>17490</v>
          </cell>
          <cell r="K4"/>
          <cell r="N4">
            <v>36410</v>
          </cell>
          <cell r="P4"/>
          <cell r="Q4">
            <v>15090</v>
          </cell>
          <cell r="R4">
            <v>14930</v>
          </cell>
          <cell r="S4">
            <v>14180</v>
          </cell>
          <cell r="T4">
            <v>12560</v>
          </cell>
          <cell r="U4">
            <v>12450</v>
          </cell>
          <cell r="V4"/>
          <cell r="W4"/>
        </row>
        <row r="5">
          <cell r="D5"/>
          <cell r="E5"/>
          <cell r="F5"/>
          <cell r="G5"/>
          <cell r="H5"/>
          <cell r="I5"/>
          <cell r="J5"/>
          <cell r="K5"/>
          <cell r="P5"/>
          <cell r="Q5"/>
          <cell r="R5"/>
          <cell r="S5"/>
          <cell r="T5"/>
          <cell r="U5">
            <v>8880</v>
          </cell>
        </row>
        <row r="6">
          <cell r="D6"/>
          <cell r="E6">
            <v>10810</v>
          </cell>
          <cell r="F6">
            <v>10100</v>
          </cell>
          <cell r="G6">
            <v>9870</v>
          </cell>
          <cell r="H6">
            <v>9720</v>
          </cell>
          <cell r="I6">
            <v>9390</v>
          </cell>
          <cell r="J6">
            <v>9350</v>
          </cell>
          <cell r="K6"/>
          <cell r="N6">
            <v>73920</v>
          </cell>
          <cell r="P6"/>
          <cell r="Q6">
            <v>10450</v>
          </cell>
          <cell r="R6">
            <v>10070</v>
          </cell>
          <cell r="S6">
            <v>9920</v>
          </cell>
          <cell r="T6">
            <v>9160</v>
          </cell>
          <cell r="U6"/>
          <cell r="V6">
            <v>10310</v>
          </cell>
          <cell r="W6"/>
          <cell r="X6"/>
        </row>
        <row r="7">
          <cell r="D7"/>
          <cell r="E7">
            <v>9130</v>
          </cell>
          <cell r="F7">
            <v>12710</v>
          </cell>
          <cell r="G7"/>
          <cell r="H7">
            <v>9120</v>
          </cell>
          <cell r="I7">
            <v>8920</v>
          </cell>
          <cell r="J7">
            <v>8740</v>
          </cell>
          <cell r="K7"/>
          <cell r="P7"/>
          <cell r="Q7"/>
          <cell r="R7">
            <v>9410</v>
          </cell>
          <cell r="S7">
            <v>9850</v>
          </cell>
          <cell r="T7"/>
          <cell r="U7">
            <v>7000</v>
          </cell>
          <cell r="V7"/>
          <cell r="W7"/>
        </row>
        <row r="8">
          <cell r="D8"/>
          <cell r="E8">
            <v>9280</v>
          </cell>
          <cell r="F8">
            <v>9170</v>
          </cell>
          <cell r="G8">
            <v>8980</v>
          </cell>
          <cell r="H8">
            <v>8940</v>
          </cell>
          <cell r="I8">
            <v>8820</v>
          </cell>
          <cell r="J8">
            <v>8700</v>
          </cell>
          <cell r="K8"/>
          <cell r="N8">
            <v>30890</v>
          </cell>
          <cell r="P8"/>
          <cell r="Q8">
            <v>5330</v>
          </cell>
          <cell r="R8">
            <v>5100</v>
          </cell>
          <cell r="S8">
            <v>5310</v>
          </cell>
          <cell r="T8">
            <v>4010</v>
          </cell>
          <cell r="U8">
            <v>5000</v>
          </cell>
          <cell r="V8">
            <v>5030</v>
          </cell>
          <cell r="W8"/>
        </row>
        <row r="9">
          <cell r="D9"/>
          <cell r="E9"/>
          <cell r="F9"/>
          <cell r="G9"/>
          <cell r="H9">
            <v>8280</v>
          </cell>
          <cell r="I9">
            <v>8150</v>
          </cell>
          <cell r="J9">
            <v>6240</v>
          </cell>
          <cell r="K9"/>
          <cell r="P9"/>
          <cell r="Q9">
            <v>6060</v>
          </cell>
          <cell r="R9">
            <v>5900</v>
          </cell>
          <cell r="S9"/>
          <cell r="T9">
            <v>5110</v>
          </cell>
          <cell r="U9">
            <v>5040</v>
          </cell>
          <cell r="V9">
            <v>3090</v>
          </cell>
          <cell r="W9"/>
        </row>
        <row r="10">
          <cell r="D10"/>
          <cell r="E10"/>
          <cell r="F10"/>
          <cell r="G10"/>
          <cell r="H10"/>
          <cell r="I10"/>
          <cell r="J10">
            <v>6220</v>
          </cell>
          <cell r="K10"/>
          <cell r="N10">
            <v>34090</v>
          </cell>
          <cell r="P10"/>
          <cell r="Q10">
            <v>4990</v>
          </cell>
          <cell r="R10">
            <v>4900</v>
          </cell>
          <cell r="S10">
            <v>8020</v>
          </cell>
          <cell r="T10"/>
          <cell r="U10">
            <v>3640</v>
          </cell>
          <cell r="V10">
            <v>3280</v>
          </cell>
          <cell r="W10"/>
        </row>
        <row r="11">
          <cell r="E11">
            <v>8780</v>
          </cell>
          <cell r="F11">
            <v>8750</v>
          </cell>
          <cell r="G11">
            <v>8660</v>
          </cell>
          <cell r="H11">
            <v>8370</v>
          </cell>
          <cell r="I11">
            <v>7820</v>
          </cell>
          <cell r="J11">
            <v>7890</v>
          </cell>
          <cell r="K11"/>
          <cell r="P11"/>
          <cell r="Q11">
            <v>4920</v>
          </cell>
          <cell r="R11">
            <v>5150</v>
          </cell>
          <cell r="S11"/>
          <cell r="T11"/>
          <cell r="U11">
            <v>3550</v>
          </cell>
          <cell r="V11">
            <v>2830</v>
          </cell>
          <cell r="W11">
            <v>3140</v>
          </cell>
        </row>
        <row r="12">
          <cell r="E12"/>
          <cell r="F12"/>
          <cell r="G12"/>
          <cell r="H12">
            <v>7200</v>
          </cell>
          <cell r="I12"/>
          <cell r="J12"/>
          <cell r="K12"/>
          <cell r="P12"/>
          <cell r="Q12">
            <v>4870</v>
          </cell>
          <cell r="R12">
            <v>3980</v>
          </cell>
          <cell r="S12"/>
          <cell r="T12"/>
          <cell r="U12">
            <v>3700</v>
          </cell>
          <cell r="V12"/>
          <cell r="W12">
            <v>4280</v>
          </cell>
        </row>
        <row r="13">
          <cell r="D13"/>
          <cell r="E13">
            <v>10870</v>
          </cell>
          <cell r="F13">
            <v>9400</v>
          </cell>
          <cell r="G13">
            <v>8840</v>
          </cell>
          <cell r="H13">
            <v>5190</v>
          </cell>
          <cell r="I13">
            <v>2560</v>
          </cell>
          <cell r="J13"/>
          <cell r="K13"/>
          <cell r="N13">
            <v>8100</v>
          </cell>
          <cell r="P13"/>
          <cell r="Q13"/>
          <cell r="R13">
            <v>1390</v>
          </cell>
          <cell r="S13">
            <v>1140</v>
          </cell>
          <cell r="T13"/>
          <cell r="U13">
            <v>2140</v>
          </cell>
          <cell r="V13">
            <v>1390</v>
          </cell>
          <cell r="W13">
            <v>450</v>
          </cell>
        </row>
        <row r="14">
          <cell r="Q14"/>
          <cell r="R14">
            <v>1120</v>
          </cell>
          <cell r="S14"/>
          <cell r="T14">
            <v>1220</v>
          </cell>
          <cell r="U14">
            <v>1190</v>
          </cell>
          <cell r="V14">
            <v>1170</v>
          </cell>
          <cell r="W14">
            <v>1270</v>
          </cell>
        </row>
        <row r="15">
          <cell r="P15"/>
          <cell r="Q15">
            <v>1680</v>
          </cell>
          <cell r="R15">
            <v>970</v>
          </cell>
          <cell r="S15">
            <v>950</v>
          </cell>
          <cell r="T15">
            <v>1010</v>
          </cell>
          <cell r="U15">
            <v>480</v>
          </cell>
          <cell r="V15">
            <v>440</v>
          </cell>
          <cell r="W15">
            <v>470</v>
          </cell>
        </row>
        <row r="18">
          <cell r="D18"/>
          <cell r="E18">
            <v>7870</v>
          </cell>
          <cell r="F18">
            <v>7190</v>
          </cell>
          <cell r="G18">
            <v>7090</v>
          </cell>
          <cell r="H18">
            <v>6920</v>
          </cell>
          <cell r="I18">
            <v>6820</v>
          </cell>
          <cell r="J18">
            <v>6040</v>
          </cell>
          <cell r="K18">
            <v>6110</v>
          </cell>
        </row>
        <row r="19">
          <cell r="D19"/>
          <cell r="E19"/>
          <cell r="F19">
            <v>7590</v>
          </cell>
          <cell r="G19"/>
          <cell r="H19"/>
          <cell r="I19">
            <v>6510</v>
          </cell>
          <cell r="J19"/>
          <cell r="K19"/>
        </row>
        <row r="20">
          <cell r="D20"/>
          <cell r="E20">
            <v>5990</v>
          </cell>
          <cell r="F20">
            <v>5980</v>
          </cell>
          <cell r="G20">
            <v>5730</v>
          </cell>
          <cell r="H20">
            <v>5520</v>
          </cell>
          <cell r="I20">
            <v>5380</v>
          </cell>
          <cell r="J20">
            <v>7680</v>
          </cell>
          <cell r="K20"/>
          <cell r="L20"/>
        </row>
        <row r="21">
          <cell r="D21"/>
          <cell r="E21"/>
          <cell r="F21">
            <v>6260</v>
          </cell>
          <cell r="G21">
            <v>4370</v>
          </cell>
          <cell r="H21"/>
          <cell r="I21"/>
          <cell r="J21"/>
          <cell r="K21"/>
        </row>
        <row r="22">
          <cell r="D22"/>
          <cell r="E22">
            <v>5020</v>
          </cell>
          <cell r="F22">
            <v>5010</v>
          </cell>
          <cell r="G22">
            <v>4930</v>
          </cell>
          <cell r="H22">
            <v>4750</v>
          </cell>
          <cell r="I22">
            <v>4120</v>
          </cell>
          <cell r="J22">
            <v>3050</v>
          </cell>
          <cell r="K22"/>
        </row>
        <row r="23">
          <cell r="D23"/>
          <cell r="E23">
            <v>4950</v>
          </cell>
          <cell r="F23">
            <v>4080</v>
          </cell>
          <cell r="G23"/>
          <cell r="H23">
            <v>5010</v>
          </cell>
          <cell r="I23"/>
          <cell r="J23">
            <v>3900</v>
          </cell>
          <cell r="K23"/>
        </row>
        <row r="24">
          <cell r="D24"/>
          <cell r="E24"/>
          <cell r="F24"/>
          <cell r="G24">
            <v>3520</v>
          </cell>
          <cell r="H24">
            <v>2170</v>
          </cell>
          <cell r="I24">
            <v>3150</v>
          </cell>
          <cell r="J24"/>
          <cell r="K24"/>
        </row>
        <row r="25">
          <cell r="D25"/>
          <cell r="E25">
            <v>3930</v>
          </cell>
          <cell r="F25">
            <v>3740</v>
          </cell>
          <cell r="G25">
            <v>3590</v>
          </cell>
          <cell r="H25">
            <v>3330</v>
          </cell>
          <cell r="I25"/>
          <cell r="J25">
            <v>2750</v>
          </cell>
          <cell r="K25"/>
        </row>
        <row r="26">
          <cell r="D26"/>
          <cell r="E26"/>
          <cell r="F26">
            <v>3480</v>
          </cell>
          <cell r="G26"/>
          <cell r="H26"/>
          <cell r="I26">
            <v>3260</v>
          </cell>
          <cell r="J26"/>
          <cell r="K26"/>
        </row>
        <row r="27">
          <cell r="D27"/>
          <cell r="E27">
            <v>1590</v>
          </cell>
          <cell r="F27">
            <v>1780</v>
          </cell>
          <cell r="G27">
            <v>1770</v>
          </cell>
          <cell r="H27">
            <v>1380</v>
          </cell>
          <cell r="I27"/>
          <cell r="J27"/>
          <cell r="K27"/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</sheetNames>
    <sheetDataSet>
      <sheetData sheetId="0"/>
      <sheetData sheetId="1">
        <row r="4">
          <cell r="D4"/>
          <cell r="E4">
            <v>860</v>
          </cell>
          <cell r="F4">
            <v>490</v>
          </cell>
          <cell r="G4">
            <v>1260</v>
          </cell>
          <cell r="H4">
            <v>1090</v>
          </cell>
          <cell r="I4">
            <v>480</v>
          </cell>
          <cell r="J4"/>
          <cell r="K4">
            <v>1250</v>
          </cell>
          <cell r="L4">
            <v>1290</v>
          </cell>
          <cell r="M4">
            <v>1280</v>
          </cell>
          <cell r="N4">
            <v>1280</v>
          </cell>
          <cell r="O4">
            <v>1350</v>
          </cell>
          <cell r="P4">
            <v>1240</v>
          </cell>
          <cell r="Q4"/>
          <cell r="R4">
            <v>1160</v>
          </cell>
          <cell r="S4">
            <v>1180</v>
          </cell>
          <cell r="T4">
            <v>1240</v>
          </cell>
          <cell r="U4"/>
          <cell r="V4">
            <v>1260</v>
          </cell>
          <cell r="W4">
            <v>1240</v>
          </cell>
          <cell r="X4">
            <v>1300</v>
          </cell>
          <cell r="Y4">
            <v>1220</v>
          </cell>
          <cell r="Z4"/>
          <cell r="AA4">
            <v>1350</v>
          </cell>
          <cell r="AB4">
            <v>1340</v>
          </cell>
          <cell r="AC4">
            <v>1230</v>
          </cell>
          <cell r="AD4"/>
        </row>
        <row r="5"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 t="str">
            <v xml:space="preserve">  </v>
          </cell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</row>
        <row r="6">
          <cell r="D6"/>
          <cell r="E6">
            <v>3410</v>
          </cell>
          <cell r="F6">
            <v>3200</v>
          </cell>
          <cell r="G6">
            <v>3190</v>
          </cell>
          <cell r="H6">
            <v>3080</v>
          </cell>
          <cell r="I6">
            <v>3160</v>
          </cell>
          <cell r="J6">
            <v>3100</v>
          </cell>
          <cell r="K6">
            <v>3180</v>
          </cell>
          <cell r="L6">
            <v>3020</v>
          </cell>
          <cell r="M6">
            <v>2960</v>
          </cell>
          <cell r="N6">
            <v>3010</v>
          </cell>
          <cell r="O6">
            <v>2750</v>
          </cell>
          <cell r="P6">
            <v>2090</v>
          </cell>
          <cell r="Q6">
            <v>2070</v>
          </cell>
          <cell r="R6"/>
          <cell r="S6">
            <v>2080</v>
          </cell>
          <cell r="T6">
            <v>2180</v>
          </cell>
          <cell r="U6">
            <v>2290</v>
          </cell>
          <cell r="V6">
            <v>2100</v>
          </cell>
          <cell r="W6">
            <v>2070</v>
          </cell>
          <cell r="X6">
            <v>2050</v>
          </cell>
          <cell r="Y6">
            <v>1670</v>
          </cell>
          <cell r="Z6"/>
          <cell r="AA6"/>
          <cell r="AB6"/>
          <cell r="AC6"/>
          <cell r="AD6"/>
        </row>
        <row r="7">
          <cell r="D7"/>
          <cell r="E7"/>
          <cell r="F7"/>
          <cell r="G7"/>
          <cell r="H7"/>
          <cell r="I7"/>
          <cell r="J7"/>
          <cell r="K7"/>
          <cell r="L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</row>
        <row r="8">
          <cell r="D8"/>
          <cell r="E8">
            <v>2140</v>
          </cell>
          <cell r="F8">
            <v>1780</v>
          </cell>
          <cell r="G8">
            <v>2090</v>
          </cell>
          <cell r="H8">
            <v>1860</v>
          </cell>
          <cell r="I8">
            <v>2030</v>
          </cell>
          <cell r="J8">
            <v>2080</v>
          </cell>
          <cell r="K8">
            <v>1980</v>
          </cell>
          <cell r="L8">
            <v>1990</v>
          </cell>
          <cell r="M8"/>
          <cell r="N8"/>
          <cell r="O8">
            <v>1990</v>
          </cell>
          <cell r="P8">
            <v>2100</v>
          </cell>
          <cell r="Q8">
            <v>2150</v>
          </cell>
          <cell r="R8">
            <v>1910</v>
          </cell>
          <cell r="S8">
            <v>2000</v>
          </cell>
          <cell r="T8">
            <v>1880</v>
          </cell>
          <cell r="U8">
            <v>1830</v>
          </cell>
          <cell r="V8">
            <v>1830</v>
          </cell>
          <cell r="W8">
            <v>1910</v>
          </cell>
          <cell r="X8">
            <v>1870</v>
          </cell>
          <cell r="Y8">
            <v>800</v>
          </cell>
          <cell r="Z8">
            <v>1810</v>
          </cell>
          <cell r="AA8"/>
          <cell r="AB8"/>
          <cell r="AC8"/>
          <cell r="AD8"/>
        </row>
        <row r="9"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</row>
        <row r="10">
          <cell r="D10"/>
          <cell r="E10">
            <v>990</v>
          </cell>
          <cell r="F10">
            <v>1490</v>
          </cell>
          <cell r="G10">
            <v>1290</v>
          </cell>
          <cell r="H10">
            <v>1380</v>
          </cell>
          <cell r="I10">
            <v>1740</v>
          </cell>
          <cell r="J10">
            <v>950</v>
          </cell>
          <cell r="K10">
            <v>1010</v>
          </cell>
          <cell r="L10">
            <v>1480</v>
          </cell>
          <cell r="M10"/>
          <cell r="N10">
            <v>1710</v>
          </cell>
          <cell r="O10">
            <v>1620</v>
          </cell>
          <cell r="P10">
            <v>1770</v>
          </cell>
          <cell r="Q10">
            <v>1340</v>
          </cell>
          <cell r="R10">
            <v>1460</v>
          </cell>
          <cell r="S10">
            <v>1770</v>
          </cell>
          <cell r="T10">
            <v>1700</v>
          </cell>
          <cell r="U10">
            <v>1040</v>
          </cell>
          <cell r="V10">
            <v>990</v>
          </cell>
          <cell r="W10">
            <v>1480</v>
          </cell>
          <cell r="X10">
            <v>1450</v>
          </cell>
          <cell r="Y10">
            <v>1030</v>
          </cell>
          <cell r="Z10"/>
          <cell r="AA10">
            <v>1260</v>
          </cell>
          <cell r="AB10"/>
          <cell r="AC10"/>
          <cell r="AD10"/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</row>
        <row r="12">
          <cell r="D12">
            <v>1010</v>
          </cell>
          <cell r="E12">
            <v>990</v>
          </cell>
          <cell r="F12">
            <v>1060</v>
          </cell>
          <cell r="G12">
            <v>1010</v>
          </cell>
          <cell r="H12">
            <v>1210</v>
          </cell>
          <cell r="I12"/>
          <cell r="J12">
            <v>1130</v>
          </cell>
          <cell r="K12">
            <v>1020</v>
          </cell>
          <cell r="L12">
            <v>990</v>
          </cell>
          <cell r="M12">
            <v>1100</v>
          </cell>
          <cell r="N12">
            <v>990</v>
          </cell>
          <cell r="O12">
            <v>1080</v>
          </cell>
          <cell r="P12">
            <v>1030</v>
          </cell>
          <cell r="Q12">
            <v>1020</v>
          </cell>
          <cell r="R12">
            <v>1000</v>
          </cell>
          <cell r="S12"/>
          <cell r="T12">
            <v>1250</v>
          </cell>
          <cell r="U12">
            <v>1140</v>
          </cell>
          <cell r="V12">
            <v>1250</v>
          </cell>
          <cell r="W12"/>
          <cell r="X12">
            <v>1280</v>
          </cell>
          <cell r="Y12">
            <v>1310</v>
          </cell>
          <cell r="Z12">
            <v>1240</v>
          </cell>
          <cell r="AA12">
            <v>1250</v>
          </cell>
          <cell r="AB12">
            <v>1280</v>
          </cell>
          <cell r="AC12">
            <v>1170</v>
          </cell>
          <cell r="AD12"/>
        </row>
        <row r="13"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</row>
        <row r="14">
          <cell r="D14">
            <v>1150</v>
          </cell>
          <cell r="E14">
            <v>840</v>
          </cell>
          <cell r="F14">
            <v>890</v>
          </cell>
          <cell r="G14">
            <v>1020</v>
          </cell>
          <cell r="H14">
            <v>1100</v>
          </cell>
          <cell r="I14">
            <v>1100</v>
          </cell>
          <cell r="J14">
            <v>1110</v>
          </cell>
          <cell r="K14">
            <v>1140</v>
          </cell>
          <cell r="L14">
            <v>1020</v>
          </cell>
          <cell r="M14"/>
          <cell r="N14">
            <v>1060</v>
          </cell>
          <cell r="O14">
            <v>1200</v>
          </cell>
          <cell r="P14">
            <v>1220</v>
          </cell>
          <cell r="Q14">
            <v>1270</v>
          </cell>
          <cell r="R14">
            <v>1310</v>
          </cell>
          <cell r="S14">
            <v>1230</v>
          </cell>
          <cell r="T14">
            <v>1100</v>
          </cell>
          <cell r="U14">
            <v>1180</v>
          </cell>
          <cell r="V14">
            <v>1290</v>
          </cell>
          <cell r="W14">
            <v>1210</v>
          </cell>
          <cell r="X14">
            <v>1230</v>
          </cell>
          <cell r="Y14"/>
          <cell r="Z14">
            <v>1180</v>
          </cell>
          <cell r="AA14"/>
          <cell r="AB14"/>
          <cell r="AC14"/>
          <cell r="AD14"/>
        </row>
        <row r="15">
          <cell r="D15"/>
          <cell r="E15"/>
          <cell r="F15"/>
          <cell r="G15"/>
          <cell r="I15"/>
          <cell r="K15"/>
          <cell r="L15"/>
          <cell r="M15" t="str">
            <v xml:space="preserve"> </v>
          </cell>
          <cell r="N15"/>
          <cell r="O15"/>
          <cell r="Q15"/>
          <cell r="R15"/>
          <cell r="S15"/>
          <cell r="T15"/>
          <cell r="AA15"/>
          <cell r="AB15"/>
          <cell r="AC15"/>
          <cell r="AD15"/>
        </row>
        <row r="16">
          <cell r="D16">
            <v>1090</v>
          </cell>
          <cell r="E16">
            <v>930</v>
          </cell>
          <cell r="F16"/>
          <cell r="G16">
            <v>1160</v>
          </cell>
          <cell r="H16">
            <v>1180</v>
          </cell>
          <cell r="I16">
            <v>1190</v>
          </cell>
          <cell r="J16">
            <v>1140</v>
          </cell>
          <cell r="K16">
            <v>1130</v>
          </cell>
          <cell r="L16">
            <v>1120</v>
          </cell>
          <cell r="M16">
            <v>1100</v>
          </cell>
          <cell r="N16">
            <v>1100</v>
          </cell>
          <cell r="O16">
            <v>1090</v>
          </cell>
          <cell r="P16">
            <v>1030</v>
          </cell>
          <cell r="Q16">
            <v>1020</v>
          </cell>
          <cell r="R16">
            <v>1020</v>
          </cell>
          <cell r="S16">
            <v>1010</v>
          </cell>
          <cell r="T16">
            <v>990</v>
          </cell>
          <cell r="U16"/>
          <cell r="V16">
            <v>900</v>
          </cell>
          <cell r="W16"/>
          <cell r="X16">
            <v>760</v>
          </cell>
          <cell r="Y16"/>
          <cell r="Z16">
            <v>740</v>
          </cell>
          <cell r="AA16">
            <v>1140</v>
          </cell>
          <cell r="AB16">
            <v>950</v>
          </cell>
          <cell r="AC16">
            <v>670</v>
          </cell>
          <cell r="AD16"/>
        </row>
        <row r="17">
          <cell r="D17"/>
          <cell r="E17"/>
          <cell r="F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Y17"/>
          <cell r="Z17"/>
          <cell r="AA17"/>
          <cell r="AB17"/>
          <cell r="AC17"/>
          <cell r="AD17"/>
        </row>
        <row r="18">
          <cell r="D18"/>
          <cell r="E18">
            <v>1180</v>
          </cell>
          <cell r="F18">
            <v>900</v>
          </cell>
          <cell r="G18"/>
          <cell r="H18">
            <v>1140</v>
          </cell>
          <cell r="I18">
            <v>1060</v>
          </cell>
          <cell r="J18">
            <v>1050</v>
          </cell>
          <cell r="K18">
            <v>1000</v>
          </cell>
          <cell r="L18">
            <v>860</v>
          </cell>
          <cell r="M18">
            <v>730</v>
          </cell>
          <cell r="N18"/>
          <cell r="O18">
            <v>680</v>
          </cell>
          <cell r="P18">
            <v>780</v>
          </cell>
          <cell r="Q18">
            <v>780</v>
          </cell>
          <cell r="R18">
            <v>820</v>
          </cell>
          <cell r="S18">
            <v>840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</row>
        <row r="19">
          <cell r="D19"/>
          <cell r="F19"/>
          <cell r="H19"/>
          <cell r="I19"/>
          <cell r="J19"/>
          <cell r="K19"/>
          <cell r="L19"/>
          <cell r="M19"/>
          <cell r="N19">
            <v>910</v>
          </cell>
          <cell r="O19">
            <v>920</v>
          </cell>
          <cell r="P19">
            <v>970</v>
          </cell>
          <cell r="Q19">
            <v>990</v>
          </cell>
          <cell r="R19">
            <v>1040</v>
          </cell>
          <cell r="S19">
            <v>1010</v>
          </cell>
          <cell r="T19">
            <v>1100</v>
          </cell>
          <cell r="U19">
            <v>1100</v>
          </cell>
          <cell r="V19">
            <v>1120</v>
          </cell>
          <cell r="W19">
            <v>990</v>
          </cell>
        </row>
        <row r="20">
          <cell r="O20"/>
          <cell r="P20"/>
        </row>
        <row r="24">
          <cell r="D24"/>
          <cell r="E24">
            <v>1160</v>
          </cell>
          <cell r="F24">
            <v>1290</v>
          </cell>
          <cell r="G24">
            <v>1280</v>
          </cell>
          <cell r="H24">
            <v>1230</v>
          </cell>
          <cell r="I24">
            <v>1350</v>
          </cell>
          <cell r="J24">
            <v>1090</v>
          </cell>
          <cell r="K24">
            <v>980</v>
          </cell>
          <cell r="L24">
            <v>1550</v>
          </cell>
          <cell r="M24">
            <v>1580</v>
          </cell>
          <cell r="N24">
            <v>1600</v>
          </cell>
          <cell r="O24">
            <v>1640</v>
          </cell>
          <cell r="P24">
            <v>1810</v>
          </cell>
          <cell r="Q24">
            <v>1060</v>
          </cell>
          <cell r="R24">
            <v>890</v>
          </cell>
          <cell r="S24">
            <v>1710</v>
          </cell>
          <cell r="T24">
            <v>1750</v>
          </cell>
          <cell r="U24">
            <v>1610</v>
          </cell>
          <cell r="V24">
            <v>2720</v>
          </cell>
          <cell r="W24">
            <v>2610</v>
          </cell>
          <cell r="X24">
            <v>2850</v>
          </cell>
          <cell r="Y24">
            <v>2940</v>
          </cell>
          <cell r="Z24"/>
          <cell r="AA24"/>
          <cell r="AB24"/>
          <cell r="AC24"/>
        </row>
        <row r="25">
          <cell r="D25"/>
          <cell r="E25">
            <v>2270</v>
          </cell>
          <cell r="F25">
            <v>4080</v>
          </cell>
          <cell r="G25">
            <v>3330</v>
          </cell>
          <cell r="H25">
            <v>2690</v>
          </cell>
          <cell r="I25">
            <v>2870</v>
          </cell>
          <cell r="J25">
            <v>2780</v>
          </cell>
          <cell r="K25">
            <v>3070</v>
          </cell>
          <cell r="L25">
            <v>2740</v>
          </cell>
          <cell r="M25">
            <v>2920</v>
          </cell>
          <cell r="N25">
            <v>2870</v>
          </cell>
          <cell r="O25">
            <v>3310</v>
          </cell>
          <cell r="P25">
            <v>2900</v>
          </cell>
          <cell r="Q25">
            <v>3030</v>
          </cell>
          <cell r="R25">
            <v>3550</v>
          </cell>
          <cell r="S25">
            <v>3100</v>
          </cell>
          <cell r="T25">
            <v>3000</v>
          </cell>
          <cell r="U25">
            <v>2400</v>
          </cell>
          <cell r="V25">
            <v>2390</v>
          </cell>
          <cell r="W25">
            <v>3190</v>
          </cell>
          <cell r="X25">
            <v>3070</v>
          </cell>
          <cell r="Y25">
            <v>3470</v>
          </cell>
          <cell r="Z25"/>
          <cell r="AA25"/>
          <cell r="AB25"/>
          <cell r="AC25"/>
        </row>
        <row r="26"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 t="str">
            <v xml:space="preserve"> </v>
          </cell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</row>
        <row r="27">
          <cell r="D27"/>
          <cell r="E27">
            <v>2550</v>
          </cell>
          <cell r="F27">
            <v>2380</v>
          </cell>
          <cell r="G27">
            <v>2360</v>
          </cell>
          <cell r="H27">
            <v>2330</v>
          </cell>
          <cell r="I27">
            <v>2420</v>
          </cell>
          <cell r="J27">
            <v>2600</v>
          </cell>
          <cell r="K27">
            <v>2460</v>
          </cell>
          <cell r="L27">
            <v>2820</v>
          </cell>
          <cell r="M27">
            <v>2450</v>
          </cell>
          <cell r="N27">
            <v>2410</v>
          </cell>
          <cell r="O27">
            <v>2300</v>
          </cell>
          <cell r="P27">
            <v>2430</v>
          </cell>
          <cell r="Q27">
            <v>2200</v>
          </cell>
          <cell r="R27">
            <v>2240</v>
          </cell>
          <cell r="S27">
            <v>2420</v>
          </cell>
          <cell r="T27">
            <v>2300</v>
          </cell>
          <cell r="U27">
            <v>2480</v>
          </cell>
          <cell r="V27">
            <v>2520</v>
          </cell>
          <cell r="W27">
            <v>2480</v>
          </cell>
          <cell r="X27">
            <v>2520</v>
          </cell>
          <cell r="Y27">
            <v>2360</v>
          </cell>
          <cell r="Z27"/>
          <cell r="AA27"/>
          <cell r="AB27"/>
          <cell r="AC27"/>
        </row>
        <row r="28"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</row>
        <row r="29">
          <cell r="D29"/>
          <cell r="E29">
            <v>2000</v>
          </cell>
          <cell r="F29">
            <v>2280</v>
          </cell>
          <cell r="G29">
            <v>2020</v>
          </cell>
          <cell r="H29">
            <v>2080</v>
          </cell>
          <cell r="I29">
            <v>2220</v>
          </cell>
          <cell r="J29">
            <v>2430</v>
          </cell>
          <cell r="K29">
            <v>2440</v>
          </cell>
          <cell r="L29">
            <v>2370</v>
          </cell>
          <cell r="M29">
            <v>2390</v>
          </cell>
          <cell r="N29">
            <v>2320</v>
          </cell>
          <cell r="O29">
            <v>2220</v>
          </cell>
          <cell r="P29">
            <v>2270</v>
          </cell>
          <cell r="Q29">
            <v>2170</v>
          </cell>
          <cell r="R29">
            <v>2150</v>
          </cell>
          <cell r="S29">
            <v>2400</v>
          </cell>
          <cell r="T29">
            <v>2240</v>
          </cell>
          <cell r="U29">
            <v>2120</v>
          </cell>
          <cell r="V29">
            <v>2330</v>
          </cell>
          <cell r="W29">
            <v>2370</v>
          </cell>
          <cell r="X29">
            <v>2120</v>
          </cell>
          <cell r="Y29"/>
          <cell r="Z29"/>
          <cell r="AA29"/>
          <cell r="AB29"/>
          <cell r="AC29"/>
        </row>
        <row r="30"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</row>
        <row r="31">
          <cell r="D31"/>
          <cell r="E31">
            <v>2100</v>
          </cell>
          <cell r="F31">
            <v>1990</v>
          </cell>
          <cell r="G31">
            <v>2070</v>
          </cell>
          <cell r="H31">
            <v>2090</v>
          </cell>
          <cell r="I31">
            <v>2050</v>
          </cell>
          <cell r="J31">
            <v>2200</v>
          </cell>
          <cell r="K31"/>
          <cell r="L31">
            <v>2140</v>
          </cell>
          <cell r="M31">
            <v>2130</v>
          </cell>
          <cell r="N31">
            <v>2220</v>
          </cell>
          <cell r="O31">
            <v>2170</v>
          </cell>
          <cell r="P31">
            <v>2130</v>
          </cell>
          <cell r="Q31">
            <v>2050</v>
          </cell>
          <cell r="R31">
            <v>2010</v>
          </cell>
          <cell r="S31">
            <v>2050</v>
          </cell>
          <cell r="T31">
            <v>1970</v>
          </cell>
          <cell r="U31">
            <v>2130</v>
          </cell>
          <cell r="V31">
            <v>1950</v>
          </cell>
          <cell r="W31">
            <v>1980</v>
          </cell>
          <cell r="X31">
            <v>2010</v>
          </cell>
          <cell r="Y31">
            <v>1850</v>
          </cell>
          <cell r="Z31">
            <v>2130</v>
          </cell>
          <cell r="AA31"/>
          <cell r="AB31"/>
          <cell r="AC31"/>
        </row>
        <row r="32"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</row>
        <row r="33">
          <cell r="D33"/>
          <cell r="E33">
            <v>1810</v>
          </cell>
          <cell r="F33">
            <v>1810</v>
          </cell>
          <cell r="G33">
            <v>1820</v>
          </cell>
          <cell r="H33">
            <v>1790</v>
          </cell>
          <cell r="I33">
            <v>1760</v>
          </cell>
          <cell r="J33">
            <v>1790</v>
          </cell>
          <cell r="K33">
            <v>1810</v>
          </cell>
          <cell r="L33">
            <v>1890</v>
          </cell>
          <cell r="M33">
            <v>1890</v>
          </cell>
          <cell r="N33">
            <v>1780</v>
          </cell>
          <cell r="O33">
            <v>1950</v>
          </cell>
          <cell r="P33">
            <v>1730</v>
          </cell>
          <cell r="Q33">
            <v>1740</v>
          </cell>
          <cell r="R33">
            <v>1850</v>
          </cell>
          <cell r="S33">
            <v>1740</v>
          </cell>
          <cell r="T33">
            <v>1920</v>
          </cell>
          <cell r="U33">
            <v>1930</v>
          </cell>
          <cell r="V33">
            <v>1970</v>
          </cell>
          <cell r="W33">
            <v>1820</v>
          </cell>
          <cell r="X33">
            <v>1790</v>
          </cell>
          <cell r="Y33"/>
          <cell r="Z33"/>
          <cell r="AA33"/>
          <cell r="AB33"/>
          <cell r="AC33"/>
        </row>
        <row r="34"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</row>
        <row r="35">
          <cell r="D35"/>
          <cell r="E35">
            <v>1740</v>
          </cell>
          <cell r="F35">
            <v>1570</v>
          </cell>
          <cell r="G35">
            <v>1490</v>
          </cell>
          <cell r="H35">
            <v>1540</v>
          </cell>
          <cell r="I35">
            <v>1470</v>
          </cell>
          <cell r="J35">
            <v>1760</v>
          </cell>
          <cell r="K35">
            <v>1570</v>
          </cell>
          <cell r="L35">
            <v>1750</v>
          </cell>
          <cell r="M35">
            <v>1780</v>
          </cell>
          <cell r="N35">
            <v>1600</v>
          </cell>
          <cell r="O35">
            <v>1750</v>
          </cell>
          <cell r="P35">
            <v>1750</v>
          </cell>
          <cell r="Q35">
            <v>1700</v>
          </cell>
          <cell r="R35">
            <v>1770</v>
          </cell>
          <cell r="S35">
            <v>1760</v>
          </cell>
          <cell r="T35">
            <v>1700</v>
          </cell>
          <cell r="U35">
            <v>1680</v>
          </cell>
          <cell r="V35">
            <v>1730</v>
          </cell>
          <cell r="W35">
            <v>1700</v>
          </cell>
          <cell r="X35">
            <v>1610</v>
          </cell>
          <cell r="Y35">
            <v>1770</v>
          </cell>
          <cell r="Z35"/>
          <cell r="AA35"/>
          <cell r="AB35"/>
          <cell r="AC35"/>
        </row>
        <row r="36"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</row>
        <row r="37">
          <cell r="D37">
            <v>1880</v>
          </cell>
          <cell r="E37">
            <v>1590</v>
          </cell>
          <cell r="F37"/>
          <cell r="G37">
            <v>1530</v>
          </cell>
          <cell r="H37">
            <v>1470</v>
          </cell>
          <cell r="I37">
            <v>1580</v>
          </cell>
          <cell r="J37">
            <v>1580</v>
          </cell>
          <cell r="K37">
            <v>1570</v>
          </cell>
          <cell r="L37">
            <v>1440</v>
          </cell>
          <cell r="M37"/>
          <cell r="N37">
            <v>1510</v>
          </cell>
          <cell r="O37">
            <v>1500</v>
          </cell>
          <cell r="P37">
            <v>1580</v>
          </cell>
          <cell r="Q37">
            <v>1490</v>
          </cell>
          <cell r="R37">
            <v>1500</v>
          </cell>
          <cell r="S37"/>
          <cell r="T37">
            <v>1410</v>
          </cell>
          <cell r="U37">
            <v>1550</v>
          </cell>
          <cell r="V37">
            <v>1440</v>
          </cell>
          <cell r="W37"/>
          <cell r="X37">
            <v>1460</v>
          </cell>
          <cell r="Y37">
            <v>1480</v>
          </cell>
          <cell r="Z37">
            <v>1410</v>
          </cell>
          <cell r="AA37"/>
          <cell r="AB37"/>
          <cell r="AC37"/>
        </row>
        <row r="42">
          <cell r="D42"/>
          <cell r="E42">
            <v>540</v>
          </cell>
          <cell r="F42">
            <v>470</v>
          </cell>
          <cell r="G42">
            <v>680</v>
          </cell>
          <cell r="H42">
            <v>810</v>
          </cell>
          <cell r="I42">
            <v>860</v>
          </cell>
          <cell r="J42">
            <v>860</v>
          </cell>
          <cell r="K42">
            <v>950</v>
          </cell>
          <cell r="L42">
            <v>1000</v>
          </cell>
          <cell r="M42">
            <v>1070</v>
          </cell>
          <cell r="N42">
            <v>1110</v>
          </cell>
          <cell r="O42">
            <v>1100</v>
          </cell>
          <cell r="P42">
            <v>1370</v>
          </cell>
          <cell r="Q42">
            <v>1770</v>
          </cell>
          <cell r="R42">
            <v>1490</v>
          </cell>
          <cell r="S42">
            <v>1550</v>
          </cell>
          <cell r="T42">
            <v>1570</v>
          </cell>
          <cell r="U42">
            <v>1840</v>
          </cell>
          <cell r="V42">
            <v>1920</v>
          </cell>
          <cell r="W42">
            <v>2860</v>
          </cell>
          <cell r="X42">
            <v>2740</v>
          </cell>
          <cell r="Y42">
            <v>3060</v>
          </cell>
          <cell r="Z42"/>
          <cell r="AA42"/>
          <cell r="AB42"/>
          <cell r="AC42"/>
        </row>
        <row r="43">
          <cell r="D43"/>
          <cell r="E43">
            <v>3770</v>
          </cell>
          <cell r="F43">
            <v>3790</v>
          </cell>
          <cell r="G43">
            <v>3650</v>
          </cell>
          <cell r="H43">
            <v>4750</v>
          </cell>
          <cell r="I43">
            <v>3450</v>
          </cell>
          <cell r="J43">
            <v>4540</v>
          </cell>
          <cell r="K43">
            <v>3950</v>
          </cell>
          <cell r="L43">
            <v>3960</v>
          </cell>
          <cell r="M43">
            <v>3120</v>
          </cell>
          <cell r="N43">
            <v>3190</v>
          </cell>
          <cell r="O43">
            <v>3560</v>
          </cell>
          <cell r="P43">
            <v>2970</v>
          </cell>
          <cell r="Q43">
            <v>2880</v>
          </cell>
          <cell r="R43">
            <v>3300</v>
          </cell>
          <cell r="S43">
            <v>2440</v>
          </cell>
          <cell r="T43">
            <v>2680</v>
          </cell>
          <cell r="U43">
            <v>3770</v>
          </cell>
          <cell r="V43">
            <v>3330</v>
          </cell>
          <cell r="W43">
            <v>2760</v>
          </cell>
          <cell r="X43">
            <v>3340</v>
          </cell>
          <cell r="Y43"/>
          <cell r="Z43"/>
          <cell r="AA43"/>
          <cell r="AB43"/>
          <cell r="AC43"/>
        </row>
        <row r="44"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</row>
        <row r="45">
          <cell r="D45"/>
          <cell r="E45"/>
          <cell r="F45">
            <v>2420</v>
          </cell>
          <cell r="G45">
            <v>2340</v>
          </cell>
          <cell r="H45">
            <v>2300</v>
          </cell>
          <cell r="I45">
            <v>2440</v>
          </cell>
          <cell r="J45">
            <v>2560</v>
          </cell>
          <cell r="K45">
            <v>2540</v>
          </cell>
          <cell r="L45">
            <v>2790</v>
          </cell>
          <cell r="M45">
            <v>2460</v>
          </cell>
          <cell r="N45">
            <v>2700</v>
          </cell>
          <cell r="O45">
            <v>2720</v>
          </cell>
          <cell r="P45">
            <v>2760</v>
          </cell>
          <cell r="Q45">
            <v>2730</v>
          </cell>
          <cell r="R45">
            <v>2520</v>
          </cell>
          <cell r="S45">
            <v>2610</v>
          </cell>
          <cell r="T45">
            <v>2530</v>
          </cell>
          <cell r="U45">
            <v>2940</v>
          </cell>
          <cell r="V45">
            <v>2590</v>
          </cell>
          <cell r="W45">
            <v>2690</v>
          </cell>
          <cell r="X45">
            <v>2950</v>
          </cell>
          <cell r="Y45">
            <v>2910</v>
          </cell>
          <cell r="Z45"/>
          <cell r="AA45"/>
          <cell r="AB45"/>
          <cell r="AC45"/>
        </row>
        <row r="46"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</row>
        <row r="47">
          <cell r="D47"/>
          <cell r="E47">
            <v>2120</v>
          </cell>
          <cell r="F47">
            <v>2230</v>
          </cell>
          <cell r="G47">
            <v>2330</v>
          </cell>
          <cell r="H47">
            <v>1830</v>
          </cell>
          <cell r="I47">
            <v>2170</v>
          </cell>
          <cell r="J47">
            <v>2330</v>
          </cell>
          <cell r="K47">
            <v>2330</v>
          </cell>
          <cell r="L47">
            <v>2260</v>
          </cell>
          <cell r="M47">
            <v>2450</v>
          </cell>
          <cell r="N47">
            <v>2360</v>
          </cell>
          <cell r="O47">
            <v>2190</v>
          </cell>
          <cell r="P47">
            <v>2370</v>
          </cell>
          <cell r="Q47">
            <v>2450</v>
          </cell>
          <cell r="R47">
            <v>2260</v>
          </cell>
          <cell r="S47">
            <v>1990</v>
          </cell>
          <cell r="T47">
            <v>2180</v>
          </cell>
          <cell r="U47">
            <v>2160</v>
          </cell>
          <cell r="V47"/>
          <cell r="W47">
            <v>2250</v>
          </cell>
          <cell r="X47">
            <v>2410</v>
          </cell>
          <cell r="Y47">
            <v>2340</v>
          </cell>
          <cell r="Z47">
            <v>2070</v>
          </cell>
          <cell r="AA47"/>
          <cell r="AB47"/>
          <cell r="AC47"/>
        </row>
        <row r="48"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</row>
        <row r="49">
          <cell r="D49"/>
          <cell r="E49">
            <v>2150</v>
          </cell>
          <cell r="F49">
            <v>2130</v>
          </cell>
          <cell r="G49">
            <v>2040</v>
          </cell>
          <cell r="H49">
            <v>1950</v>
          </cell>
          <cell r="I49">
            <v>2010</v>
          </cell>
          <cell r="J49">
            <v>2030</v>
          </cell>
          <cell r="K49">
            <v>2130</v>
          </cell>
          <cell r="L49">
            <v>1940</v>
          </cell>
          <cell r="M49">
            <v>1960</v>
          </cell>
          <cell r="N49">
            <v>1860</v>
          </cell>
          <cell r="O49">
            <v>2210</v>
          </cell>
          <cell r="P49">
            <v>2150</v>
          </cell>
          <cell r="Q49">
            <v>1980</v>
          </cell>
          <cell r="R49">
            <v>2200</v>
          </cell>
          <cell r="S49">
            <v>2120</v>
          </cell>
          <cell r="T49">
            <v>1970</v>
          </cell>
          <cell r="U49">
            <v>1920</v>
          </cell>
          <cell r="V49">
            <v>1980</v>
          </cell>
          <cell r="W49">
            <v>1970</v>
          </cell>
          <cell r="X49">
            <v>1810</v>
          </cell>
          <cell r="Y49">
            <v>1870</v>
          </cell>
          <cell r="Z49"/>
          <cell r="AA49"/>
          <cell r="AB49"/>
          <cell r="AC49"/>
        </row>
        <row r="50"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 t="str">
            <v xml:space="preserve">   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</row>
        <row r="51">
          <cell r="D51"/>
          <cell r="E51">
            <v>1830</v>
          </cell>
          <cell r="F51">
            <v>1770</v>
          </cell>
          <cell r="G51">
            <v>1890</v>
          </cell>
          <cell r="H51"/>
          <cell r="I51">
            <v>1770</v>
          </cell>
          <cell r="J51">
            <v>1700</v>
          </cell>
          <cell r="K51">
            <v>1790</v>
          </cell>
          <cell r="L51">
            <v>1900</v>
          </cell>
          <cell r="M51">
            <v>1730</v>
          </cell>
          <cell r="N51">
            <v>1890</v>
          </cell>
          <cell r="O51">
            <v>1790</v>
          </cell>
          <cell r="P51">
            <v>1750</v>
          </cell>
          <cell r="Q51">
            <v>1700</v>
          </cell>
          <cell r="R51">
            <v>1780</v>
          </cell>
          <cell r="S51">
            <v>1830</v>
          </cell>
          <cell r="T51">
            <v>1730</v>
          </cell>
          <cell r="U51">
            <v>1890</v>
          </cell>
          <cell r="V51">
            <v>1870</v>
          </cell>
          <cell r="W51">
            <v>1810</v>
          </cell>
          <cell r="X51">
            <v>1620</v>
          </cell>
          <cell r="Y51">
            <v>1840</v>
          </cell>
          <cell r="Z51"/>
          <cell r="AA51"/>
          <cell r="AB51"/>
          <cell r="AC51"/>
        </row>
        <row r="52"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</row>
        <row r="53">
          <cell r="D53">
            <v>1530</v>
          </cell>
          <cell r="E53">
            <v>1500</v>
          </cell>
          <cell r="F53">
            <v>1470</v>
          </cell>
          <cell r="G53">
            <v>1480</v>
          </cell>
          <cell r="H53">
            <v>1600</v>
          </cell>
          <cell r="I53">
            <v>1540</v>
          </cell>
          <cell r="J53">
            <v>1540</v>
          </cell>
          <cell r="K53">
            <v>1580</v>
          </cell>
          <cell r="L53">
            <v>1580</v>
          </cell>
          <cell r="M53">
            <v>1670</v>
          </cell>
          <cell r="N53">
            <v>1550</v>
          </cell>
          <cell r="O53">
            <v>1400</v>
          </cell>
          <cell r="P53">
            <v>1590</v>
          </cell>
          <cell r="Q53">
            <v>1660</v>
          </cell>
          <cell r="R53">
            <v>1720</v>
          </cell>
          <cell r="S53">
            <v>1560</v>
          </cell>
          <cell r="T53">
            <v>1630</v>
          </cell>
          <cell r="U53">
            <v>1630</v>
          </cell>
          <cell r="V53">
            <v>1620</v>
          </cell>
          <cell r="W53">
            <v>1630</v>
          </cell>
          <cell r="X53">
            <v>1540</v>
          </cell>
          <cell r="Y53">
            <v>1650</v>
          </cell>
          <cell r="Z53">
            <v>1650</v>
          </cell>
          <cell r="AA53"/>
          <cell r="AB53"/>
          <cell r="AC53"/>
        </row>
        <row r="54"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</row>
        <row r="55">
          <cell r="D55">
            <v>1350</v>
          </cell>
          <cell r="E55">
            <v>1320</v>
          </cell>
          <cell r="F55"/>
          <cell r="G55">
            <v>1390</v>
          </cell>
          <cell r="H55">
            <v>1390</v>
          </cell>
          <cell r="I55">
            <v>1310</v>
          </cell>
          <cell r="J55">
            <v>1370</v>
          </cell>
          <cell r="K55">
            <v>1380</v>
          </cell>
          <cell r="L55">
            <v>1440</v>
          </cell>
          <cell r="M55">
            <v>1360</v>
          </cell>
          <cell r="N55">
            <v>1460</v>
          </cell>
          <cell r="O55">
            <v>1420</v>
          </cell>
          <cell r="P55">
            <v>1490</v>
          </cell>
          <cell r="Q55">
            <v>1420</v>
          </cell>
          <cell r="R55">
            <v>1320</v>
          </cell>
          <cell r="S55">
            <v>1310</v>
          </cell>
          <cell r="T55">
            <v>1480</v>
          </cell>
          <cell r="U55">
            <v>1350</v>
          </cell>
          <cell r="V55">
            <v>1430</v>
          </cell>
          <cell r="W55">
            <v>1280</v>
          </cell>
          <cell r="X55">
            <v>1470</v>
          </cell>
          <cell r="Y55">
            <v>1290</v>
          </cell>
          <cell r="Z55"/>
        </row>
        <row r="60">
          <cell r="D60" t="str">
            <v>ATAS</v>
          </cell>
          <cell r="E60">
            <v>4920</v>
          </cell>
          <cell r="F60">
            <v>6440</v>
          </cell>
          <cell r="G60"/>
          <cell r="H60">
            <v>7060</v>
          </cell>
          <cell r="I60"/>
          <cell r="J60"/>
          <cell r="K60">
            <v>6000</v>
          </cell>
          <cell r="L60">
            <v>6100</v>
          </cell>
          <cell r="M60"/>
          <cell r="N60">
            <v>6300</v>
          </cell>
          <cell r="O60">
            <v>6500</v>
          </cell>
          <cell r="P60">
            <v>17620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</row>
        <row r="61"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</row>
        <row r="62">
          <cell r="D62" t="str">
            <v>BAWAH</v>
          </cell>
          <cell r="E62">
            <v>17470</v>
          </cell>
          <cell r="F62">
            <v>13900</v>
          </cell>
          <cell r="G62">
            <v>16360</v>
          </cell>
          <cell r="H62">
            <v>15330</v>
          </cell>
          <cell r="I62">
            <v>12850</v>
          </cell>
          <cell r="J62"/>
          <cell r="K62">
            <v>11590</v>
          </cell>
          <cell r="L62">
            <v>10900</v>
          </cell>
          <cell r="M62">
            <v>10000</v>
          </cell>
          <cell r="N62">
            <v>10920</v>
          </cell>
          <cell r="O62">
            <v>10050</v>
          </cell>
          <cell r="P62">
            <v>9920</v>
          </cell>
          <cell r="Q62">
            <v>9790</v>
          </cell>
          <cell r="R62">
            <v>6690</v>
          </cell>
          <cell r="S62">
            <v>6740</v>
          </cell>
          <cell r="T62">
            <v>8940</v>
          </cell>
          <cell r="U62">
            <v>8790</v>
          </cell>
          <cell r="V62">
            <v>8660</v>
          </cell>
          <cell r="W62">
            <v>8620</v>
          </cell>
          <cell r="X62">
            <v>8030</v>
          </cell>
          <cell r="Y62">
            <v>8000</v>
          </cell>
          <cell r="Z62">
            <v>7240</v>
          </cell>
          <cell r="AA62">
            <v>7070</v>
          </cell>
          <cell r="AB62">
            <v>7070</v>
          </cell>
          <cell r="AC62">
            <v>7020</v>
          </cell>
        </row>
        <row r="63">
          <cell r="D63"/>
          <cell r="E63">
            <v>7400</v>
          </cell>
          <cell r="F63">
            <v>6930</v>
          </cell>
          <cell r="G63">
            <v>6930</v>
          </cell>
          <cell r="H63">
            <v>6100</v>
          </cell>
          <cell r="I63"/>
          <cell r="J63"/>
          <cell r="K63">
            <v>6750</v>
          </cell>
          <cell r="L63"/>
          <cell r="M63">
            <v>6230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F3"/>
          <cell r="G3">
            <v>12000</v>
          </cell>
          <cell r="H3">
            <v>11620</v>
          </cell>
          <cell r="I3">
            <v>9790</v>
          </cell>
          <cell r="J3">
            <v>8120</v>
          </cell>
          <cell r="K3"/>
          <cell r="L3">
            <v>6010</v>
          </cell>
          <cell r="M3">
            <v>6000</v>
          </cell>
          <cell r="N3">
            <v>5840</v>
          </cell>
          <cell r="O3">
            <v>5010</v>
          </cell>
          <cell r="P3">
            <v>4920</v>
          </cell>
          <cell r="Q3">
            <v>4900</v>
          </cell>
          <cell r="R3">
            <v>4860</v>
          </cell>
          <cell r="S3">
            <v>4030</v>
          </cell>
          <cell r="T3">
            <v>3980</v>
          </cell>
          <cell r="U3">
            <v>2160</v>
          </cell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</row>
        <row r="4"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</row>
        <row r="5">
          <cell r="F5"/>
          <cell r="G5">
            <v>9710</v>
          </cell>
          <cell r="H5">
            <v>9480</v>
          </cell>
          <cell r="I5">
            <v>7350</v>
          </cell>
          <cell r="J5">
            <v>6820</v>
          </cell>
          <cell r="K5">
            <v>6710</v>
          </cell>
          <cell r="L5">
            <v>6470</v>
          </cell>
          <cell r="M5">
            <v>6000</v>
          </cell>
          <cell r="N5">
            <v>5890</v>
          </cell>
          <cell r="O5">
            <v>5860</v>
          </cell>
          <cell r="P5">
            <v>5660</v>
          </cell>
          <cell r="Q5">
            <v>5400</v>
          </cell>
          <cell r="R5">
            <v>5110</v>
          </cell>
          <cell r="S5">
            <v>4940</v>
          </cell>
          <cell r="T5">
            <v>4930</v>
          </cell>
          <cell r="U5">
            <v>4760</v>
          </cell>
          <cell r="V5">
            <v>4590</v>
          </cell>
          <cell r="W5">
            <v>4480</v>
          </cell>
          <cell r="X5">
            <v>4040</v>
          </cell>
          <cell r="Y5">
            <v>4000</v>
          </cell>
          <cell r="Z5">
            <v>3990</v>
          </cell>
          <cell r="AA5">
            <v>3840</v>
          </cell>
          <cell r="AB5">
            <v>3540</v>
          </cell>
          <cell r="AC5">
            <v>2770</v>
          </cell>
          <cell r="AD5"/>
          <cell r="AE5"/>
          <cell r="AF5"/>
          <cell r="AG5"/>
        </row>
        <row r="6"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</row>
        <row r="7">
          <cell r="F7"/>
          <cell r="G7">
            <v>8220</v>
          </cell>
          <cell r="H7">
            <v>7660</v>
          </cell>
          <cell r="I7">
            <v>7090</v>
          </cell>
          <cell r="J7">
            <v>6950</v>
          </cell>
          <cell r="K7">
            <v>5100</v>
          </cell>
          <cell r="L7">
            <v>5040</v>
          </cell>
          <cell r="M7">
            <v>4900</v>
          </cell>
          <cell r="N7">
            <v>4640</v>
          </cell>
          <cell r="O7">
            <v>4060</v>
          </cell>
          <cell r="P7">
            <v>4020</v>
          </cell>
          <cell r="Q7">
            <v>3960</v>
          </cell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</row>
        <row r="8">
          <cell r="I8"/>
          <cell r="J8"/>
          <cell r="K8"/>
          <cell r="L8"/>
          <cell r="M8"/>
          <cell r="N8"/>
          <cell r="O8"/>
          <cell r="P8"/>
        </row>
        <row r="10">
          <cell r="G10">
            <v>10010</v>
          </cell>
          <cell r="H10">
            <v>10010</v>
          </cell>
          <cell r="I10">
            <v>9980</v>
          </cell>
          <cell r="J10">
            <v>8120</v>
          </cell>
          <cell r="K10">
            <v>8080</v>
          </cell>
          <cell r="L10">
            <v>7450</v>
          </cell>
          <cell r="M10"/>
          <cell r="N10">
            <v>7100</v>
          </cell>
          <cell r="O10">
            <v>7070</v>
          </cell>
          <cell r="P10">
            <v>6480</v>
          </cell>
          <cell r="Q10">
            <v>5830</v>
          </cell>
          <cell r="R10">
            <v>5080</v>
          </cell>
          <cell r="S10">
            <v>4950</v>
          </cell>
          <cell r="T10">
            <v>4940</v>
          </cell>
          <cell r="U10">
            <v>3630</v>
          </cell>
          <cell r="V10">
            <v>3090</v>
          </cell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</row>
        <row r="11"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</row>
        <row r="12">
          <cell r="F12"/>
          <cell r="G12">
            <v>9860</v>
          </cell>
          <cell r="H12">
            <v>8300</v>
          </cell>
          <cell r="I12">
            <v>7730</v>
          </cell>
          <cell r="J12">
            <v>7030</v>
          </cell>
          <cell r="K12">
            <v>6830</v>
          </cell>
          <cell r="L12">
            <v>6480</v>
          </cell>
          <cell r="M12">
            <v>5850</v>
          </cell>
          <cell r="N12">
            <v>5730</v>
          </cell>
          <cell r="O12">
            <v>5630</v>
          </cell>
          <cell r="P12">
            <v>5500</v>
          </cell>
          <cell r="Q12">
            <v>5440</v>
          </cell>
          <cell r="R12">
            <v>5250</v>
          </cell>
          <cell r="S12">
            <v>5110</v>
          </cell>
          <cell r="T12">
            <v>4970</v>
          </cell>
          <cell r="U12">
            <v>4940</v>
          </cell>
          <cell r="V12">
            <v>4810</v>
          </cell>
          <cell r="W12">
            <v>4780</v>
          </cell>
          <cell r="X12">
            <v>4140</v>
          </cell>
          <cell r="Y12">
            <v>4000</v>
          </cell>
          <cell r="Z12">
            <v>3820</v>
          </cell>
          <cell r="AA12">
            <v>3750</v>
          </cell>
          <cell r="AB12">
            <v>3030</v>
          </cell>
          <cell r="AC12">
            <v>2930</v>
          </cell>
          <cell r="AD12">
            <v>2900</v>
          </cell>
          <cell r="AE12">
            <v>2600</v>
          </cell>
          <cell r="AF12">
            <v>1930</v>
          </cell>
          <cell r="AG12"/>
        </row>
        <row r="13"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</row>
        <row r="14">
          <cell r="F14"/>
          <cell r="G14"/>
          <cell r="H14">
            <v>2180</v>
          </cell>
          <cell r="I14">
            <v>2120</v>
          </cell>
          <cell r="J14">
            <v>1960</v>
          </cell>
          <cell r="K14">
            <v>1830</v>
          </cell>
          <cell r="L14">
            <v>2130</v>
          </cell>
          <cell r="M14">
            <v>1550</v>
          </cell>
          <cell r="N14">
            <v>1100</v>
          </cell>
          <cell r="O14">
            <v>3030</v>
          </cell>
          <cell r="P14">
            <v>2370</v>
          </cell>
          <cell r="Q14">
            <v>2260</v>
          </cell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</row>
        <row r="15">
          <cell r="F15"/>
          <cell r="G15">
            <v>1400</v>
          </cell>
          <cell r="H15">
            <v>1400</v>
          </cell>
          <cell r="I15">
            <v>1390</v>
          </cell>
          <cell r="J15">
            <v>1360</v>
          </cell>
          <cell r="K15">
            <v>1420</v>
          </cell>
          <cell r="L15"/>
          <cell r="M15">
            <v>1140</v>
          </cell>
          <cell r="N15"/>
          <cell r="O15"/>
          <cell r="P15"/>
          <cell r="Q15" t="str">
            <v>KOKOT</v>
          </cell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</row>
        <row r="19">
          <cell r="D19"/>
          <cell r="E19"/>
          <cell r="F19"/>
          <cell r="G19"/>
          <cell r="H19">
            <v>6710</v>
          </cell>
          <cell r="I19">
            <v>10450</v>
          </cell>
          <cell r="J19"/>
          <cell r="K19">
            <v>1860</v>
          </cell>
          <cell r="L19">
            <v>1420</v>
          </cell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</row>
        <row r="20">
          <cell r="D20"/>
          <cell r="E20"/>
          <cell r="F20">
            <v>2240</v>
          </cell>
          <cell r="G20">
            <v>2100</v>
          </cell>
          <cell r="H20">
            <v>2360</v>
          </cell>
          <cell r="I20">
            <v>2280</v>
          </cell>
          <cell r="J20">
            <v>2390</v>
          </cell>
          <cell r="K20">
            <v>2360</v>
          </cell>
          <cell r="L20">
            <v>2940</v>
          </cell>
          <cell r="M20">
            <v>2510</v>
          </cell>
          <cell r="N20">
            <v>2800</v>
          </cell>
          <cell r="O20">
            <v>2850</v>
          </cell>
          <cell r="P20">
            <v>3470</v>
          </cell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</row>
        <row r="21">
          <cell r="D21"/>
          <cell r="E21"/>
          <cell r="F21">
            <v>1900</v>
          </cell>
          <cell r="G21">
            <v>2220</v>
          </cell>
          <cell r="H21">
            <v>1780</v>
          </cell>
          <cell r="I21">
            <v>2100</v>
          </cell>
          <cell r="J21">
            <v>1750</v>
          </cell>
          <cell r="K21">
            <v>1870</v>
          </cell>
          <cell r="L21">
            <v>2590</v>
          </cell>
          <cell r="M21">
            <v>1960</v>
          </cell>
          <cell r="N21">
            <v>2200</v>
          </cell>
          <cell r="O21">
            <v>2330</v>
          </cell>
          <cell r="P21">
            <v>2150</v>
          </cell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</row>
        <row r="22">
          <cell r="D22"/>
          <cell r="E22"/>
          <cell r="F22">
            <v>1630</v>
          </cell>
          <cell r="G22">
            <v>1830</v>
          </cell>
          <cell r="H22">
            <v>1520</v>
          </cell>
          <cell r="I22">
            <v>1610</v>
          </cell>
          <cell r="J22">
            <v>1590</v>
          </cell>
          <cell r="K22">
            <v>1580</v>
          </cell>
          <cell r="L22">
            <v>1740</v>
          </cell>
          <cell r="M22">
            <v>1710</v>
          </cell>
          <cell r="N22">
            <v>1970</v>
          </cell>
          <cell r="O22">
            <v>1980</v>
          </cell>
          <cell r="P22">
            <v>1910</v>
          </cell>
          <cell r="Q22">
            <v>1670</v>
          </cell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</row>
        <row r="23">
          <cell r="D23"/>
          <cell r="E23"/>
          <cell r="F23">
            <v>1510</v>
          </cell>
          <cell r="G23">
            <v>1570</v>
          </cell>
          <cell r="H23">
            <v>1440</v>
          </cell>
          <cell r="I23">
            <v>1500</v>
          </cell>
          <cell r="J23">
            <v>1590</v>
          </cell>
          <cell r="K23">
            <v>1470</v>
          </cell>
          <cell r="L23">
            <v>1090</v>
          </cell>
          <cell r="M23">
            <v>1480</v>
          </cell>
          <cell r="N23">
            <v>1410</v>
          </cell>
          <cell r="O23">
            <v>1150</v>
          </cell>
          <cell r="P23">
            <v>1370</v>
          </cell>
          <cell r="Q23">
            <v>1590</v>
          </cell>
          <cell r="R23">
            <v>2140</v>
          </cell>
          <cell r="S23">
            <v>1670</v>
          </cell>
          <cell r="T23">
            <v>1130</v>
          </cell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</row>
        <row r="24">
          <cell r="D24"/>
          <cell r="E24"/>
          <cell r="F24">
            <v>860</v>
          </cell>
          <cell r="G24">
            <v>970</v>
          </cell>
          <cell r="H24">
            <v>1320</v>
          </cell>
          <cell r="I24">
            <v>1270</v>
          </cell>
          <cell r="J24">
            <v>1160</v>
          </cell>
          <cell r="K24">
            <v>1160</v>
          </cell>
          <cell r="L24">
            <v>1330</v>
          </cell>
          <cell r="M24">
            <v>1380</v>
          </cell>
          <cell r="N24">
            <v>1360</v>
          </cell>
          <cell r="O24">
            <v>1260</v>
          </cell>
          <cell r="P24">
            <v>1310</v>
          </cell>
          <cell r="Q24">
            <v>1390</v>
          </cell>
          <cell r="R24">
            <v>940</v>
          </cell>
          <cell r="S24">
            <v>920</v>
          </cell>
          <cell r="T24">
            <v>1130</v>
          </cell>
          <cell r="U24"/>
          <cell r="V24">
            <v>1170</v>
          </cell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</row>
        <row r="25">
          <cell r="D25"/>
          <cell r="E25"/>
          <cell r="F25">
            <v>760</v>
          </cell>
          <cell r="G25">
            <v>1170</v>
          </cell>
          <cell r="H25">
            <v>1130</v>
          </cell>
          <cell r="I25">
            <v>1050</v>
          </cell>
          <cell r="J25">
            <v>630</v>
          </cell>
          <cell r="K25">
            <v>1070</v>
          </cell>
          <cell r="L25">
            <v>1050</v>
          </cell>
          <cell r="M25">
            <v>1000</v>
          </cell>
          <cell r="N25">
            <v>750</v>
          </cell>
          <cell r="O25">
            <v>830</v>
          </cell>
          <cell r="P25">
            <v>810</v>
          </cell>
          <cell r="Q25">
            <v>750</v>
          </cell>
          <cell r="R25">
            <v>670</v>
          </cell>
          <cell r="S25">
            <v>670</v>
          </cell>
          <cell r="T25">
            <v>580</v>
          </cell>
          <cell r="U25">
            <v>1210</v>
          </cell>
          <cell r="V25">
            <v>1120</v>
          </cell>
          <cell r="W25">
            <v>770</v>
          </cell>
          <cell r="X25">
            <v>810</v>
          </cell>
          <cell r="Y25"/>
          <cell r="Z25"/>
          <cell r="AA25"/>
          <cell r="AB25"/>
          <cell r="AC25"/>
          <cell r="AD25"/>
          <cell r="AE25"/>
          <cell r="AF25"/>
          <cell r="AG25"/>
        </row>
        <row r="26">
          <cell r="D26"/>
          <cell r="E26"/>
          <cell r="F26"/>
          <cell r="G26"/>
          <cell r="H26"/>
          <cell r="I26"/>
          <cell r="J26"/>
          <cell r="K26"/>
          <cell r="L26" t="str">
            <v xml:space="preserve">     </v>
          </cell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</row>
        <row r="27">
          <cell r="D27"/>
          <cell r="E27"/>
          <cell r="F27"/>
          <cell r="G27"/>
          <cell r="H27">
            <v>6280</v>
          </cell>
          <cell r="I27">
            <v>5920</v>
          </cell>
          <cell r="J27">
            <v>5890</v>
          </cell>
          <cell r="K27">
            <v>5780</v>
          </cell>
          <cell r="L27">
            <v>5240</v>
          </cell>
          <cell r="M27">
            <v>5170</v>
          </cell>
          <cell r="N27">
            <v>5120</v>
          </cell>
          <cell r="O27">
            <v>5240</v>
          </cell>
          <cell r="P27">
            <v>5020</v>
          </cell>
          <cell r="Q27">
            <v>4980</v>
          </cell>
          <cell r="R27">
            <v>4780</v>
          </cell>
          <cell r="S27">
            <v>4170</v>
          </cell>
          <cell r="T27">
            <v>3950</v>
          </cell>
          <cell r="U27">
            <v>3950</v>
          </cell>
          <cell r="V27">
            <v>3950</v>
          </cell>
          <cell r="W27">
            <v>3940</v>
          </cell>
          <cell r="X27">
            <v>3690</v>
          </cell>
          <cell r="Y27"/>
          <cell r="Z27">
            <v>3650</v>
          </cell>
          <cell r="AA27">
            <v>2700</v>
          </cell>
          <cell r="AB27"/>
          <cell r="AC27"/>
          <cell r="AD27"/>
          <cell r="AE27"/>
          <cell r="AF27"/>
          <cell r="AG27"/>
        </row>
        <row r="33">
          <cell r="D33"/>
          <cell r="E33">
            <v>9890</v>
          </cell>
          <cell r="F33">
            <v>14730</v>
          </cell>
          <cell r="G33">
            <v>11080</v>
          </cell>
          <cell r="H33">
            <v>9490</v>
          </cell>
          <cell r="I33"/>
          <cell r="J33">
            <v>15550</v>
          </cell>
          <cell r="K33"/>
          <cell r="L33"/>
          <cell r="M33"/>
          <cell r="N33"/>
          <cell r="O33">
            <v>5160</v>
          </cell>
          <cell r="P33">
            <v>7040</v>
          </cell>
          <cell r="Q33">
            <v>7830</v>
          </cell>
          <cell r="R33">
            <v>9310</v>
          </cell>
          <cell r="S33">
            <v>3620</v>
          </cell>
          <cell r="T33">
            <v>2860</v>
          </cell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</row>
        <row r="34"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</row>
        <row r="35">
          <cell r="D35"/>
          <cell r="E35">
            <v>14500</v>
          </cell>
          <cell r="F35">
            <v>14330</v>
          </cell>
          <cell r="G35">
            <v>13400</v>
          </cell>
          <cell r="H35">
            <v>13090</v>
          </cell>
          <cell r="I35">
            <v>12480</v>
          </cell>
          <cell r="J35">
            <v>11270</v>
          </cell>
          <cell r="K35">
            <v>10760</v>
          </cell>
          <cell r="L35">
            <v>10090</v>
          </cell>
          <cell r="M35"/>
          <cell r="N35">
            <v>9250</v>
          </cell>
          <cell r="O35">
            <v>8780</v>
          </cell>
          <cell r="P35">
            <v>8170</v>
          </cell>
          <cell r="Q35">
            <v>8010</v>
          </cell>
          <cell r="R35">
            <v>7850</v>
          </cell>
          <cell r="S35">
            <v>7740</v>
          </cell>
          <cell r="T35">
            <v>7680</v>
          </cell>
          <cell r="U35"/>
          <cell r="V35"/>
          <cell r="W35">
            <v>7650</v>
          </cell>
          <cell r="X35">
            <v>7630</v>
          </cell>
          <cell r="Y35">
            <v>7320</v>
          </cell>
          <cell r="Z35">
            <v>7210</v>
          </cell>
          <cell r="AA35">
            <v>6950</v>
          </cell>
          <cell r="AB35">
            <v>6480</v>
          </cell>
          <cell r="AC35"/>
          <cell r="AD35"/>
          <cell r="AE35"/>
        </row>
        <row r="36"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</row>
        <row r="37">
          <cell r="D37"/>
          <cell r="E37">
            <v>5950</v>
          </cell>
          <cell r="F37">
            <v>5930</v>
          </cell>
          <cell r="G37">
            <v>5840</v>
          </cell>
          <cell r="H37"/>
          <cell r="I37"/>
          <cell r="J37">
            <v>5580</v>
          </cell>
          <cell r="K37">
            <v>5240</v>
          </cell>
          <cell r="L37">
            <v>4950</v>
          </cell>
          <cell r="M37"/>
          <cell r="N37">
            <v>4880</v>
          </cell>
          <cell r="O37">
            <v>4820</v>
          </cell>
          <cell r="P37">
            <v>4780</v>
          </cell>
          <cell r="Q37">
            <v>4650</v>
          </cell>
          <cell r="R37">
            <v>4460</v>
          </cell>
          <cell r="S37">
            <v>4210</v>
          </cell>
          <cell r="T37"/>
          <cell r="U37">
            <v>3800</v>
          </cell>
          <cell r="V37"/>
          <cell r="W37">
            <v>3320</v>
          </cell>
          <cell r="X37">
            <v>3020</v>
          </cell>
          <cell r="Y37">
            <v>2350</v>
          </cell>
          <cell r="Z37">
            <v>2190</v>
          </cell>
          <cell r="AA37">
            <v>2130</v>
          </cell>
          <cell r="AB37">
            <v>2100</v>
          </cell>
          <cell r="AC37">
            <v>2060</v>
          </cell>
          <cell r="AD37">
            <v>1960</v>
          </cell>
          <cell r="AE37">
            <v>1830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</sheetNames>
    <sheetDataSet>
      <sheetData sheetId="0"/>
      <sheetData sheetId="1">
        <row r="2">
          <cell r="B2"/>
          <cell r="C2">
            <v>3330</v>
          </cell>
          <cell r="D2">
            <v>2560</v>
          </cell>
          <cell r="E2">
            <v>2090</v>
          </cell>
          <cell r="F2">
            <v>2940</v>
          </cell>
          <cell r="G2">
            <v>1930</v>
          </cell>
          <cell r="H2">
            <v>1970</v>
          </cell>
          <cell r="I2">
            <v>1910</v>
          </cell>
          <cell r="J2">
            <v>1980</v>
          </cell>
          <cell r="K2">
            <v>1680</v>
          </cell>
          <cell r="L2">
            <v>2110</v>
          </cell>
          <cell r="M2">
            <v>1770</v>
          </cell>
          <cell r="N2">
            <v>1560</v>
          </cell>
          <cell r="O2">
            <v>1560</v>
          </cell>
          <cell r="P2"/>
        </row>
        <row r="3">
          <cell r="B3"/>
          <cell r="C3">
            <v>1690</v>
          </cell>
          <cell r="D3">
            <v>1670</v>
          </cell>
          <cell r="E3">
            <v>1860</v>
          </cell>
          <cell r="F3">
            <v>1990</v>
          </cell>
          <cell r="G3">
            <v>1640</v>
          </cell>
          <cell r="H3">
            <v>1700</v>
          </cell>
          <cell r="I3">
            <v>1770</v>
          </cell>
          <cell r="J3">
            <v>1530</v>
          </cell>
          <cell r="K3">
            <v>1620</v>
          </cell>
          <cell r="L3">
            <v>1860</v>
          </cell>
          <cell r="M3">
            <v>1880</v>
          </cell>
          <cell r="N3">
            <v>1480</v>
          </cell>
          <cell r="O3"/>
          <cell r="P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</row>
        <row r="5">
          <cell r="B5"/>
          <cell r="C5">
            <v>1960</v>
          </cell>
          <cell r="D5">
            <v>1970</v>
          </cell>
          <cell r="E5">
            <v>1210</v>
          </cell>
          <cell r="F5">
            <v>1290</v>
          </cell>
          <cell r="G5">
            <v>1400</v>
          </cell>
          <cell r="H5">
            <v>1620</v>
          </cell>
          <cell r="J5">
            <v>1550</v>
          </cell>
          <cell r="K5">
            <v>1170</v>
          </cell>
          <cell r="L5">
            <v>1570</v>
          </cell>
          <cell r="M5">
            <v>1310</v>
          </cell>
          <cell r="N5">
            <v>1490</v>
          </cell>
          <cell r="O5">
            <v>1580</v>
          </cell>
          <cell r="P5"/>
        </row>
        <row r="6">
          <cell r="B6"/>
          <cell r="C6">
            <v>1440</v>
          </cell>
          <cell r="D6">
            <v>1240</v>
          </cell>
          <cell r="E6">
            <v>1230</v>
          </cell>
          <cell r="F6">
            <v>1250</v>
          </cell>
          <cell r="G6">
            <v>1460</v>
          </cell>
          <cell r="H6">
            <v>1280</v>
          </cell>
          <cell r="I6">
            <v>1310</v>
          </cell>
          <cell r="J6">
            <v>1380</v>
          </cell>
          <cell r="K6">
            <v>1450</v>
          </cell>
          <cell r="L6">
            <v>1570</v>
          </cell>
          <cell r="M6">
            <v>2110</v>
          </cell>
          <cell r="N6">
            <v>3070</v>
          </cell>
          <cell r="O6">
            <v>3120</v>
          </cell>
          <cell r="P6"/>
        </row>
        <row r="7"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B8"/>
          <cell r="C8">
            <v>1000</v>
          </cell>
          <cell r="D8">
            <v>1070</v>
          </cell>
          <cell r="E8">
            <v>1060</v>
          </cell>
          <cell r="F8">
            <v>1120</v>
          </cell>
          <cell r="G8">
            <v>1170</v>
          </cell>
          <cell r="H8">
            <v>1150</v>
          </cell>
          <cell r="I8"/>
          <cell r="J8">
            <v>1150</v>
          </cell>
          <cell r="K8">
            <v>1220</v>
          </cell>
          <cell r="L8">
            <v>1490</v>
          </cell>
          <cell r="M8">
            <v>1170</v>
          </cell>
          <cell r="N8">
            <v>1170</v>
          </cell>
          <cell r="O8">
            <v>1120</v>
          </cell>
          <cell r="P8">
            <v>1040</v>
          </cell>
        </row>
        <row r="9">
          <cell r="B9"/>
          <cell r="C9">
            <v>1240</v>
          </cell>
          <cell r="D9"/>
          <cell r="E9">
            <v>1390</v>
          </cell>
          <cell r="F9">
            <v>1360</v>
          </cell>
          <cell r="G9">
            <v>1250</v>
          </cell>
          <cell r="H9">
            <v>990</v>
          </cell>
          <cell r="I9">
            <v>1070</v>
          </cell>
          <cell r="J9">
            <v>1630</v>
          </cell>
          <cell r="K9">
            <v>1020</v>
          </cell>
          <cell r="L9">
            <v>1190</v>
          </cell>
          <cell r="M9">
            <v>1040</v>
          </cell>
          <cell r="N9">
            <v>1050</v>
          </cell>
          <cell r="O9"/>
          <cell r="P9"/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B11">
            <v>940</v>
          </cell>
          <cell r="C11">
            <v>930</v>
          </cell>
          <cell r="D11">
            <v>900</v>
          </cell>
          <cell r="E11">
            <v>830</v>
          </cell>
          <cell r="F11">
            <v>640</v>
          </cell>
          <cell r="G11">
            <v>1110</v>
          </cell>
          <cell r="H11">
            <v>1000</v>
          </cell>
          <cell r="I11">
            <v>1190</v>
          </cell>
          <cell r="J11">
            <v>770</v>
          </cell>
          <cell r="K11">
            <v>1040</v>
          </cell>
          <cell r="L11">
            <v>970</v>
          </cell>
          <cell r="M11">
            <v>890</v>
          </cell>
          <cell r="N11">
            <v>940</v>
          </cell>
          <cell r="O11">
            <v>940</v>
          </cell>
          <cell r="P11">
            <v>1100</v>
          </cell>
        </row>
        <row r="12">
          <cell r="B12"/>
          <cell r="C12"/>
          <cell r="D12">
            <v>1000</v>
          </cell>
          <cell r="E12">
            <v>980</v>
          </cell>
          <cell r="F12">
            <v>1120</v>
          </cell>
          <cell r="G12">
            <v>940</v>
          </cell>
          <cell r="H12"/>
          <cell r="I12"/>
          <cell r="J12">
            <v>1010</v>
          </cell>
          <cell r="K12">
            <v>940</v>
          </cell>
          <cell r="L12">
            <v>950</v>
          </cell>
          <cell r="M12"/>
          <cell r="N12"/>
          <cell r="O12"/>
          <cell r="P12"/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B14"/>
          <cell r="C14">
            <v>1110</v>
          </cell>
          <cell r="D14">
            <v>540</v>
          </cell>
          <cell r="E14">
            <v>430</v>
          </cell>
          <cell r="F14">
            <v>810</v>
          </cell>
          <cell r="G14">
            <v>480</v>
          </cell>
          <cell r="H14"/>
          <cell r="I14">
            <v>540</v>
          </cell>
          <cell r="J14">
            <v>420</v>
          </cell>
          <cell r="K14">
            <v>460</v>
          </cell>
          <cell r="L14">
            <v>420</v>
          </cell>
          <cell r="M14">
            <v>760</v>
          </cell>
          <cell r="N14">
            <v>740</v>
          </cell>
          <cell r="O14"/>
          <cell r="P14">
            <v>630</v>
          </cell>
        </row>
        <row r="15">
          <cell r="B15"/>
          <cell r="C15">
            <v>560</v>
          </cell>
          <cell r="D15">
            <v>660</v>
          </cell>
          <cell r="E15">
            <v>350</v>
          </cell>
          <cell r="F15">
            <v>570</v>
          </cell>
          <cell r="G15">
            <v>470</v>
          </cell>
          <cell r="H15"/>
          <cell r="I15">
            <v>560</v>
          </cell>
          <cell r="J15">
            <v>550</v>
          </cell>
          <cell r="K15">
            <v>520</v>
          </cell>
          <cell r="L15">
            <v>600</v>
          </cell>
          <cell r="M15"/>
          <cell r="N15">
            <v>500</v>
          </cell>
          <cell r="O15">
            <v>520</v>
          </cell>
          <cell r="P15"/>
        </row>
        <row r="18">
          <cell r="B18"/>
          <cell r="C18">
            <v>2970</v>
          </cell>
          <cell r="D18">
            <v>2440</v>
          </cell>
          <cell r="E18">
            <v>2700</v>
          </cell>
          <cell r="F18">
            <v>2210</v>
          </cell>
          <cell r="G18">
            <v>3810</v>
          </cell>
          <cell r="H18">
            <v>2120</v>
          </cell>
          <cell r="I18">
            <v>3080</v>
          </cell>
          <cell r="J18">
            <v>3020</v>
          </cell>
          <cell r="K18">
            <v>1980</v>
          </cell>
          <cell r="L18">
            <v>2160</v>
          </cell>
          <cell r="M18">
            <v>2550</v>
          </cell>
          <cell r="N18">
            <v>2940</v>
          </cell>
          <cell r="O18"/>
          <cell r="P18"/>
        </row>
        <row r="19"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B20"/>
          <cell r="C20">
            <v>2310</v>
          </cell>
          <cell r="D20">
            <v>2310</v>
          </cell>
          <cell r="E20">
            <v>3060</v>
          </cell>
          <cell r="F20">
            <v>2180</v>
          </cell>
          <cell r="G20">
            <v>2190</v>
          </cell>
          <cell r="H20">
            <v>2340</v>
          </cell>
          <cell r="I20">
            <v>2480</v>
          </cell>
          <cell r="J20">
            <v>2280</v>
          </cell>
          <cell r="K20">
            <v>1940</v>
          </cell>
          <cell r="L20">
            <v>2000</v>
          </cell>
          <cell r="M20">
            <v>1520</v>
          </cell>
          <cell r="N20">
            <v>1390</v>
          </cell>
          <cell r="O20">
            <v>2450</v>
          </cell>
          <cell r="P20"/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B22"/>
          <cell r="C22">
            <v>1920</v>
          </cell>
          <cell r="D22">
            <v>1960</v>
          </cell>
          <cell r="E22">
            <v>1580</v>
          </cell>
          <cell r="F22">
            <v>2100</v>
          </cell>
          <cell r="G22">
            <v>2470</v>
          </cell>
          <cell r="H22">
            <v>2540</v>
          </cell>
          <cell r="I22">
            <v>2520</v>
          </cell>
          <cell r="J22">
            <v>2550</v>
          </cell>
          <cell r="K22">
            <v>2100</v>
          </cell>
          <cell r="L22">
            <v>2180</v>
          </cell>
          <cell r="M22"/>
          <cell r="N22"/>
          <cell r="O22"/>
          <cell r="P22"/>
        </row>
        <row r="23"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</row>
        <row r="24">
          <cell r="B24"/>
          <cell r="C24">
            <v>2330</v>
          </cell>
          <cell r="D24">
            <v>3130</v>
          </cell>
          <cell r="E24">
            <v>2210</v>
          </cell>
          <cell r="F24">
            <v>1010</v>
          </cell>
          <cell r="G24">
            <v>1050</v>
          </cell>
          <cell r="H24">
            <v>1050</v>
          </cell>
          <cell r="I24">
            <v>1030</v>
          </cell>
          <cell r="J24">
            <v>1150</v>
          </cell>
          <cell r="K24">
            <v>1040</v>
          </cell>
          <cell r="L24"/>
          <cell r="M24"/>
          <cell r="N24"/>
          <cell r="O24"/>
          <cell r="P24"/>
        </row>
        <row r="26">
          <cell r="G26" t="str">
            <v>Cincin Bayi 8K (Z)</v>
          </cell>
        </row>
        <row r="27">
          <cell r="B27"/>
          <cell r="C27">
            <v>700</v>
          </cell>
          <cell r="D27">
            <v>560</v>
          </cell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</row>
        <row r="28">
          <cell r="B28"/>
          <cell r="C28">
            <v>530</v>
          </cell>
          <cell r="D28">
            <v>550</v>
          </cell>
          <cell r="E28">
            <v>520</v>
          </cell>
          <cell r="F28"/>
          <cell r="G28">
            <v>530</v>
          </cell>
          <cell r="H28">
            <v>720</v>
          </cell>
          <cell r="I28"/>
          <cell r="J28"/>
          <cell r="K28"/>
          <cell r="L28"/>
          <cell r="M28"/>
          <cell r="N28"/>
          <cell r="O28"/>
          <cell r="P28"/>
        </row>
        <row r="29">
          <cell r="B29"/>
          <cell r="C29"/>
          <cell r="D29"/>
          <cell r="E29">
            <v>700</v>
          </cell>
          <cell r="F29"/>
          <cell r="G29">
            <v>550</v>
          </cell>
          <cell r="H29">
            <v>550</v>
          </cell>
          <cell r="I29">
            <v>470</v>
          </cell>
          <cell r="J29">
            <v>520</v>
          </cell>
          <cell r="K29"/>
          <cell r="L29"/>
          <cell r="M29"/>
          <cell r="N29"/>
          <cell r="O29"/>
          <cell r="P29"/>
        </row>
        <row r="30">
          <cell r="B30"/>
          <cell r="C30">
            <v>1000</v>
          </cell>
          <cell r="D30">
            <v>750</v>
          </cell>
          <cell r="E30">
            <v>980</v>
          </cell>
          <cell r="F30"/>
          <cell r="G30"/>
          <cell r="H30">
            <v>860</v>
          </cell>
          <cell r="I30">
            <v>890</v>
          </cell>
          <cell r="J30"/>
          <cell r="K30">
            <v>1130</v>
          </cell>
          <cell r="L30">
            <v>990</v>
          </cell>
          <cell r="M30">
            <v>930</v>
          </cell>
          <cell r="N30"/>
          <cell r="O30"/>
          <cell r="P30"/>
        </row>
        <row r="31">
          <cell r="B31">
            <v>1040</v>
          </cell>
          <cell r="C31">
            <v>710</v>
          </cell>
          <cell r="D31">
            <v>970</v>
          </cell>
          <cell r="E31">
            <v>900</v>
          </cell>
          <cell r="F31"/>
          <cell r="G31">
            <v>900</v>
          </cell>
          <cell r="H31">
            <v>1290</v>
          </cell>
          <cell r="I31">
            <v>980</v>
          </cell>
          <cell r="J31"/>
          <cell r="K31">
            <v>880</v>
          </cell>
          <cell r="L31"/>
          <cell r="M31">
            <v>1020</v>
          </cell>
          <cell r="N31">
            <v>960</v>
          </cell>
          <cell r="O31">
            <v>890</v>
          </cell>
          <cell r="P31"/>
        </row>
        <row r="32">
          <cell r="B32"/>
          <cell r="C32">
            <v>1020</v>
          </cell>
          <cell r="D32">
            <v>940</v>
          </cell>
          <cell r="E32">
            <v>950</v>
          </cell>
          <cell r="F32"/>
          <cell r="G32">
            <v>1150</v>
          </cell>
          <cell r="H32">
            <v>1030</v>
          </cell>
          <cell r="I32">
            <v>1240</v>
          </cell>
          <cell r="J32"/>
          <cell r="K32">
            <v>1240</v>
          </cell>
          <cell r="L32">
            <v>1190</v>
          </cell>
          <cell r="M32">
            <v>1040</v>
          </cell>
          <cell r="N32"/>
          <cell r="O32"/>
          <cell r="P32"/>
        </row>
        <row r="33">
          <cell r="B33"/>
          <cell r="C33"/>
          <cell r="D33">
            <v>1700</v>
          </cell>
          <cell r="E33">
            <v>1930</v>
          </cell>
          <cell r="F33"/>
          <cell r="G33">
            <v>1740</v>
          </cell>
          <cell r="H33">
            <v>2180</v>
          </cell>
          <cell r="I33">
            <v>2190</v>
          </cell>
          <cell r="J33"/>
          <cell r="K33">
            <v>2290</v>
          </cell>
          <cell r="L33">
            <v>1440</v>
          </cell>
          <cell r="M33">
            <v>2960</v>
          </cell>
          <cell r="N33"/>
          <cell r="O33"/>
          <cell r="P33"/>
        </row>
        <row r="34">
          <cell r="B34"/>
          <cell r="C34">
            <v>1020</v>
          </cell>
          <cell r="D34">
            <v>1030</v>
          </cell>
          <cell r="E34">
            <v>1150</v>
          </cell>
          <cell r="F34"/>
          <cell r="G34">
            <v>1110</v>
          </cell>
          <cell r="H34">
            <v>910</v>
          </cell>
          <cell r="I34">
            <v>630</v>
          </cell>
          <cell r="J34"/>
          <cell r="K34">
            <v>900</v>
          </cell>
          <cell r="L34">
            <v>510</v>
          </cell>
          <cell r="M34">
            <v>530</v>
          </cell>
          <cell r="N34">
            <v>520</v>
          </cell>
          <cell r="O34">
            <v>510</v>
          </cell>
          <cell r="P34">
            <v>860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3264-A142-4DEA-9179-2030C2264BF1}">
  <dimension ref="A1:BB42"/>
  <sheetViews>
    <sheetView tabSelected="1" topLeftCell="A28" zoomScale="72" zoomScaleNormal="102" workbookViewId="0">
      <selection activeCell="Q42" sqref="Q42"/>
    </sheetView>
  </sheetViews>
  <sheetFormatPr defaultRowHeight="14.4" x14ac:dyDescent="0.3"/>
  <cols>
    <col min="1" max="1" width="13.21875" customWidth="1"/>
  </cols>
  <sheetData>
    <row r="1" spans="1:54" ht="15" thickBot="1" x14ac:dyDescent="0.35"/>
    <row r="2" spans="1:54" ht="27" customHeight="1" x14ac:dyDescent="0.55000000000000004">
      <c r="A2" s="12" t="s">
        <v>12</v>
      </c>
      <c r="B2" s="46" t="s">
        <v>0</v>
      </c>
      <c r="C2" s="13"/>
      <c r="D2" s="51">
        <f>SUM([1]Sheet1!$B$2:$K$37)</f>
        <v>275900</v>
      </c>
      <c r="E2" s="52"/>
      <c r="F2" s="52"/>
      <c r="G2" s="52"/>
      <c r="H2" s="53"/>
      <c r="I2" s="13"/>
      <c r="J2" s="13"/>
      <c r="K2" s="49" t="s">
        <v>1</v>
      </c>
      <c r="L2" s="49"/>
      <c r="M2" s="49"/>
      <c r="N2" s="14"/>
      <c r="O2" s="50">
        <f>COUNT([2]Sheet1!$E$4:$BX$19)</f>
        <v>143</v>
      </c>
      <c r="P2" s="50"/>
      <c r="T2" s="2" t="s">
        <v>26</v>
      </c>
      <c r="U2" s="60" t="s">
        <v>21</v>
      </c>
      <c r="V2" s="3"/>
      <c r="W2" s="59">
        <f>SUM([3]Sheet1!$D$20:$Y$25)</f>
        <v>207440</v>
      </c>
      <c r="X2" s="59"/>
      <c r="Y2" s="59"/>
      <c r="Z2" s="59"/>
      <c r="AA2" s="59"/>
      <c r="AB2" s="3"/>
      <c r="AC2" s="3"/>
      <c r="AD2" s="57" t="s">
        <v>1</v>
      </c>
      <c r="AE2" s="57"/>
      <c r="AF2" s="57"/>
      <c r="AG2" s="4"/>
      <c r="AH2" s="57">
        <f>COUNT([3]Sheet1!$E$20:$P$24)</f>
        <v>33</v>
      </c>
      <c r="AI2" s="57"/>
      <c r="AM2" s="5" t="s">
        <v>16</v>
      </c>
      <c r="AN2" s="40" t="s">
        <v>49</v>
      </c>
      <c r="AO2" s="1"/>
      <c r="AP2" s="40">
        <f>SUM([4]Sheet1!$D$33:$AB$39)</f>
        <v>161270</v>
      </c>
      <c r="AQ2" s="40"/>
      <c r="AR2" s="40"/>
      <c r="AS2" s="40"/>
      <c r="AT2" s="40"/>
      <c r="AU2" s="1"/>
      <c r="AV2" s="1"/>
      <c r="AW2" s="40" t="s">
        <v>10</v>
      </c>
      <c r="AX2" s="40"/>
      <c r="AY2" s="40"/>
      <c r="AZ2" s="1"/>
      <c r="BA2" s="40">
        <f>COUNT([4]Sheet1!$E$34:$T$37)</f>
        <v>13</v>
      </c>
      <c r="BB2" s="40"/>
    </row>
    <row r="3" spans="1:54" ht="27" customHeight="1" thickBot="1" x14ac:dyDescent="0.6">
      <c r="A3" s="15" t="s">
        <v>28</v>
      </c>
      <c r="B3" s="46"/>
      <c r="C3" s="13"/>
      <c r="D3" s="54"/>
      <c r="E3" s="55"/>
      <c r="F3" s="55"/>
      <c r="G3" s="55"/>
      <c r="H3" s="56"/>
      <c r="I3" s="13"/>
      <c r="J3" s="13"/>
      <c r="K3" s="49"/>
      <c r="L3" s="49"/>
      <c r="M3" s="49"/>
      <c r="N3" s="14"/>
      <c r="O3" s="50"/>
      <c r="P3" s="50"/>
      <c r="T3" s="2" t="s">
        <v>27</v>
      </c>
      <c r="U3" s="60"/>
      <c r="V3" s="3"/>
      <c r="W3" s="59"/>
      <c r="X3" s="59"/>
      <c r="Y3" s="59"/>
      <c r="Z3" s="59"/>
      <c r="AA3" s="59"/>
      <c r="AB3" s="3"/>
      <c r="AC3" s="3"/>
      <c r="AD3" s="57"/>
      <c r="AE3" s="57"/>
      <c r="AF3" s="57"/>
      <c r="AG3" s="4"/>
      <c r="AH3" s="57"/>
      <c r="AI3" s="57"/>
      <c r="AM3" s="5" t="s">
        <v>39</v>
      </c>
      <c r="AN3" s="40"/>
      <c r="AO3" s="1"/>
      <c r="AP3" s="40"/>
      <c r="AQ3" s="40"/>
      <c r="AR3" s="40"/>
      <c r="AS3" s="40"/>
      <c r="AT3" s="40"/>
      <c r="AU3" s="1"/>
      <c r="AV3" s="1"/>
      <c r="AW3" s="40"/>
      <c r="AX3" s="40"/>
      <c r="AY3" s="40"/>
      <c r="AZ3" s="1"/>
      <c r="BA3" s="40"/>
      <c r="BB3" s="40"/>
    </row>
    <row r="4" spans="1:54" ht="39" thickBot="1" x14ac:dyDescent="0.75">
      <c r="A4" s="16"/>
      <c r="B4" s="13"/>
      <c r="C4" s="13"/>
      <c r="D4" s="26"/>
      <c r="E4" s="26"/>
      <c r="F4" s="26"/>
      <c r="G4" s="26"/>
      <c r="H4" s="26"/>
      <c r="I4" s="13"/>
      <c r="J4" s="13"/>
      <c r="K4" s="18"/>
      <c r="L4" s="18"/>
      <c r="M4" s="18"/>
      <c r="N4" s="14"/>
      <c r="O4" s="23"/>
      <c r="P4" s="23"/>
      <c r="T4" s="2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4"/>
      <c r="AG4" s="4"/>
      <c r="AH4" s="4"/>
      <c r="AI4" s="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27" customHeight="1" x14ac:dyDescent="0.55000000000000004">
      <c r="A5" s="12" t="s">
        <v>13</v>
      </c>
      <c r="B5" s="46" t="s">
        <v>2</v>
      </c>
      <c r="C5" s="13"/>
      <c r="D5" s="48">
        <f>SUM([1]Sheet1!$M$1:$Z$37)</f>
        <v>286262</v>
      </c>
      <c r="E5" s="48"/>
      <c r="F5" s="48"/>
      <c r="G5" s="48"/>
      <c r="H5" s="48"/>
      <c r="I5" s="13"/>
      <c r="J5" s="13"/>
      <c r="K5" s="49" t="s">
        <v>1</v>
      </c>
      <c r="L5" s="49"/>
      <c r="M5" s="49"/>
      <c r="N5" s="14"/>
      <c r="O5" s="50">
        <f>COUNT([2]Sheet1!$E$22:$BH$35)</f>
        <v>141</v>
      </c>
      <c r="P5" s="50"/>
      <c r="T5" s="2" t="s">
        <v>24</v>
      </c>
      <c r="U5" s="58" t="s">
        <v>22</v>
      </c>
      <c r="V5" s="3"/>
      <c r="W5" s="59">
        <f>SUM([3]Sheet1!$D$29:$T$38)</f>
        <v>369470</v>
      </c>
      <c r="X5" s="59"/>
      <c r="Y5" s="59"/>
      <c r="Z5" s="59"/>
      <c r="AA5" s="59"/>
      <c r="AB5" s="3"/>
      <c r="AC5" s="3"/>
      <c r="AD5" s="57" t="s">
        <v>1</v>
      </c>
      <c r="AE5" s="57"/>
      <c r="AF5" s="57"/>
      <c r="AG5" s="4"/>
      <c r="AH5" s="57">
        <f>COUNT([3]Sheet1!$E$29:$N$35)</f>
        <v>35</v>
      </c>
      <c r="AI5" s="57"/>
      <c r="AM5" s="5" t="s">
        <v>24</v>
      </c>
      <c r="AN5" s="40" t="s">
        <v>41</v>
      </c>
      <c r="AO5" s="1"/>
      <c r="AP5" s="40">
        <f>SUM([4]Sheet1!$D$42:$AA$47)</f>
        <v>203610</v>
      </c>
      <c r="AQ5" s="40"/>
      <c r="AR5" s="40"/>
      <c r="AS5" s="40"/>
      <c r="AT5" s="40"/>
      <c r="AU5" s="1"/>
      <c r="AV5" s="1"/>
      <c r="AW5" s="40" t="s">
        <v>10</v>
      </c>
      <c r="AX5" s="40"/>
      <c r="AY5" s="40"/>
      <c r="AZ5" s="1"/>
      <c r="BA5" s="40">
        <f>COUNT([4]Sheet1!$E$42:$U$44)</f>
        <v>29</v>
      </c>
      <c r="BB5" s="40"/>
    </row>
    <row r="6" spans="1:54" ht="27.6" customHeight="1" thickBot="1" x14ac:dyDescent="0.6">
      <c r="A6" s="15" t="s">
        <v>28</v>
      </c>
      <c r="B6" s="47"/>
      <c r="C6" s="13"/>
      <c r="D6" s="48"/>
      <c r="E6" s="48"/>
      <c r="F6" s="48"/>
      <c r="G6" s="48"/>
      <c r="H6" s="48"/>
      <c r="I6" s="13"/>
      <c r="J6" s="13"/>
      <c r="K6" s="49"/>
      <c r="L6" s="49"/>
      <c r="M6" s="49"/>
      <c r="N6" s="14"/>
      <c r="O6" s="50"/>
      <c r="P6" s="50"/>
      <c r="T6" s="2" t="s">
        <v>27</v>
      </c>
      <c r="U6" s="58"/>
      <c r="V6" s="3"/>
      <c r="W6" s="59"/>
      <c r="X6" s="59"/>
      <c r="Y6" s="59"/>
      <c r="Z6" s="59"/>
      <c r="AA6" s="59"/>
      <c r="AB6" s="3"/>
      <c r="AC6" s="3"/>
      <c r="AD6" s="57"/>
      <c r="AE6" s="57"/>
      <c r="AF6" s="57"/>
      <c r="AG6" s="4"/>
      <c r="AH6" s="57"/>
      <c r="AI6" s="57"/>
      <c r="AM6" s="5" t="s">
        <v>32</v>
      </c>
      <c r="AN6" s="40"/>
      <c r="AO6" s="1"/>
      <c r="AP6" s="40"/>
      <c r="AQ6" s="40"/>
      <c r="AR6" s="40"/>
      <c r="AS6" s="40"/>
      <c r="AT6" s="40"/>
      <c r="AU6" s="1"/>
      <c r="AV6" s="1"/>
      <c r="AW6" s="40"/>
      <c r="AX6" s="40"/>
      <c r="AY6" s="40"/>
      <c r="AZ6" s="1"/>
      <c r="BA6" s="40"/>
      <c r="BB6" s="40"/>
    </row>
    <row r="7" spans="1:54" ht="39" thickBot="1" x14ac:dyDescent="0.75">
      <c r="A7" s="16"/>
      <c r="B7" s="13"/>
      <c r="C7" s="13"/>
      <c r="D7" s="26"/>
      <c r="E7" s="26"/>
      <c r="F7" s="26"/>
      <c r="G7" s="26"/>
      <c r="H7" s="26"/>
      <c r="I7" s="13"/>
      <c r="J7" s="13"/>
      <c r="K7" s="18"/>
      <c r="L7" s="18"/>
      <c r="M7" s="18"/>
      <c r="N7" s="14"/>
      <c r="O7" s="23"/>
      <c r="P7" s="23"/>
      <c r="T7" s="2"/>
      <c r="U7" s="3"/>
      <c r="V7" s="3"/>
      <c r="W7" s="3"/>
      <c r="X7" s="3"/>
      <c r="Y7" s="3"/>
      <c r="Z7" s="3"/>
      <c r="AA7" s="3"/>
      <c r="AB7" s="3"/>
      <c r="AC7" s="3"/>
      <c r="AD7" s="4"/>
      <c r="AE7" s="4"/>
      <c r="AF7" s="4"/>
      <c r="AG7" s="4"/>
      <c r="AH7" s="4"/>
      <c r="AI7" s="4"/>
      <c r="AM7" s="5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27" customHeight="1" x14ac:dyDescent="0.55000000000000004">
      <c r="A8" s="12" t="s">
        <v>14</v>
      </c>
      <c r="B8" s="46" t="s">
        <v>3</v>
      </c>
      <c r="C8" s="13"/>
      <c r="D8" s="48">
        <f>SUM([1]Sheet1!$B$42:$K$77)</f>
        <v>372270</v>
      </c>
      <c r="E8" s="48"/>
      <c r="F8" s="48"/>
      <c r="G8" s="48"/>
      <c r="H8" s="48"/>
      <c r="I8" s="13"/>
      <c r="J8" s="13"/>
      <c r="K8" s="49" t="s">
        <v>1</v>
      </c>
      <c r="L8" s="49"/>
      <c r="M8" s="49"/>
      <c r="N8" s="14"/>
      <c r="O8" s="50">
        <f>COUNT([2]Sheet1!$E$39:$AX$50)</f>
        <v>115</v>
      </c>
      <c r="P8" s="50"/>
      <c r="T8" s="2" t="s">
        <v>25</v>
      </c>
      <c r="U8" s="60" t="s">
        <v>23</v>
      </c>
      <c r="V8" s="3"/>
      <c r="W8" s="59">
        <f>SUM([3]Sheet1!$O$3:$Y$6)</f>
        <v>67900</v>
      </c>
      <c r="X8" s="59"/>
      <c r="Y8" s="59"/>
      <c r="Z8" s="59"/>
      <c r="AA8" s="59"/>
      <c r="AB8" s="3"/>
      <c r="AC8" s="3"/>
      <c r="AD8" s="57" t="s">
        <v>1</v>
      </c>
      <c r="AE8" s="57"/>
      <c r="AF8" s="57"/>
      <c r="AG8" s="4"/>
      <c r="AH8" s="57">
        <f>COUNT([3]Sheet1!$E$39:$N$41)</f>
        <v>0</v>
      </c>
      <c r="AI8" s="57"/>
      <c r="AM8" s="5" t="s">
        <v>13</v>
      </c>
      <c r="AN8" s="40" t="s">
        <v>42</v>
      </c>
      <c r="AO8" s="1"/>
      <c r="AP8" s="40">
        <f>SUM([5]Sheet1!$D$4:$L$14)</f>
        <v>378040</v>
      </c>
      <c r="AQ8" s="40"/>
      <c r="AR8" s="40"/>
      <c r="AS8" s="40"/>
      <c r="AT8" s="40"/>
      <c r="AU8" s="1"/>
      <c r="AV8" s="1"/>
      <c r="AW8" s="40" t="s">
        <v>10</v>
      </c>
      <c r="AX8" s="40"/>
      <c r="AY8" s="40"/>
      <c r="AZ8" s="1"/>
      <c r="BA8" s="40">
        <f>COUNT([5]Sheet1!$E$4:$P$13)</f>
        <v>43</v>
      </c>
      <c r="BB8" s="40"/>
    </row>
    <row r="9" spans="1:54" ht="27.6" customHeight="1" thickBot="1" x14ac:dyDescent="0.6">
      <c r="A9" s="15" t="s">
        <v>28</v>
      </c>
      <c r="B9" s="47"/>
      <c r="C9" s="13"/>
      <c r="D9" s="48"/>
      <c r="E9" s="48"/>
      <c r="F9" s="48"/>
      <c r="G9" s="48"/>
      <c r="H9" s="48"/>
      <c r="I9" s="13"/>
      <c r="J9" s="13"/>
      <c r="K9" s="49"/>
      <c r="L9" s="49"/>
      <c r="M9" s="49"/>
      <c r="N9" s="14"/>
      <c r="O9" s="50"/>
      <c r="P9" s="50"/>
      <c r="T9" s="2" t="s">
        <v>27</v>
      </c>
      <c r="U9" s="60"/>
      <c r="V9" s="3"/>
      <c r="W9" s="59"/>
      <c r="X9" s="59"/>
      <c r="Y9" s="59"/>
      <c r="Z9" s="59"/>
      <c r="AA9" s="59"/>
      <c r="AB9" s="3"/>
      <c r="AC9" s="3"/>
      <c r="AD9" s="57"/>
      <c r="AE9" s="57"/>
      <c r="AF9" s="57"/>
      <c r="AG9" s="4"/>
      <c r="AH9" s="57"/>
      <c r="AI9" s="57"/>
      <c r="AM9" s="5" t="s">
        <v>32</v>
      </c>
      <c r="AN9" s="40"/>
      <c r="AO9" s="1"/>
      <c r="AP9" s="40"/>
      <c r="AQ9" s="40"/>
      <c r="AR9" s="40"/>
      <c r="AS9" s="40"/>
      <c r="AT9" s="40"/>
      <c r="AU9" s="1"/>
      <c r="AV9" s="1"/>
      <c r="AW9" s="40"/>
      <c r="AX9" s="40"/>
      <c r="AY9" s="40"/>
      <c r="AZ9" s="1"/>
      <c r="BA9" s="40"/>
      <c r="BB9" s="40"/>
    </row>
    <row r="10" spans="1:54" ht="39" thickBot="1" x14ac:dyDescent="0.75">
      <c r="A10" s="16"/>
      <c r="B10" s="13"/>
      <c r="C10" s="13"/>
      <c r="D10" s="26"/>
      <c r="E10" s="26"/>
      <c r="F10" s="26"/>
      <c r="G10" s="26"/>
      <c r="H10" s="26"/>
      <c r="I10" s="13"/>
      <c r="J10" s="13"/>
      <c r="K10" s="18"/>
      <c r="L10" s="18"/>
      <c r="M10" s="18"/>
      <c r="N10" s="14"/>
      <c r="O10" s="23"/>
      <c r="P10" s="23"/>
      <c r="T10" s="2"/>
      <c r="U10" s="3"/>
      <c r="V10" s="3"/>
      <c r="W10" s="3"/>
      <c r="X10" s="3"/>
      <c r="Y10" s="3"/>
      <c r="Z10" s="3"/>
      <c r="AA10" s="3"/>
      <c r="AB10" s="3"/>
      <c r="AC10" s="3"/>
      <c r="AD10" s="4"/>
      <c r="AE10" s="4"/>
      <c r="AF10" s="4"/>
      <c r="AG10" s="4"/>
      <c r="AH10" s="4"/>
      <c r="AI10" s="4"/>
      <c r="AM10" s="5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27" customHeight="1" x14ac:dyDescent="0.55000000000000004">
      <c r="A11" s="12" t="s">
        <v>15</v>
      </c>
      <c r="B11" s="46" t="s">
        <v>4</v>
      </c>
      <c r="C11" s="13"/>
      <c r="D11" s="48">
        <f>SUM([1]Sheet1!$M$42:$X$77)</f>
        <v>214030</v>
      </c>
      <c r="E11" s="48"/>
      <c r="F11" s="48"/>
      <c r="G11" s="48"/>
      <c r="H11" s="48"/>
      <c r="I11" s="13"/>
      <c r="J11" s="13"/>
      <c r="K11" s="49" t="s">
        <v>1</v>
      </c>
      <c r="L11" s="49"/>
      <c r="M11" s="49"/>
      <c r="N11" s="14"/>
      <c r="O11" s="50">
        <f>COUNT([2]Sheet1!$E$56:$AZ$73)</f>
        <v>159</v>
      </c>
      <c r="P11" s="50"/>
      <c r="T11" s="5" t="s">
        <v>12</v>
      </c>
      <c r="U11" s="40" t="s">
        <v>34</v>
      </c>
      <c r="V11" s="1"/>
      <c r="W11" s="40">
        <f>SUM([6]Sheet1!$D$4:$AD$20)</f>
        <v>238120</v>
      </c>
      <c r="X11" s="40"/>
      <c r="Y11" s="40"/>
      <c r="Z11" s="40"/>
      <c r="AA11" s="40"/>
      <c r="AB11" s="1"/>
      <c r="AC11" s="1"/>
      <c r="AD11" s="40" t="s">
        <v>10</v>
      </c>
      <c r="AE11" s="40"/>
      <c r="AF11" s="40"/>
      <c r="AG11" s="1"/>
      <c r="AH11" s="40">
        <f>COUNT([6]Sheet1!$E$3:$Y$18)</f>
        <v>164</v>
      </c>
      <c r="AI11" s="40"/>
      <c r="AM11" s="5" t="s">
        <v>33</v>
      </c>
      <c r="AN11" s="40" t="s">
        <v>43</v>
      </c>
      <c r="AO11" s="1"/>
      <c r="AP11" s="40">
        <f>SUM([5]Sheet1!$D$18:$L$28)</f>
        <v>193310</v>
      </c>
      <c r="AQ11" s="40"/>
      <c r="AR11" s="40"/>
      <c r="AS11" s="40"/>
      <c r="AT11" s="40"/>
      <c r="AU11" s="1"/>
      <c r="AV11" s="1"/>
      <c r="AW11" s="40" t="s">
        <v>10</v>
      </c>
      <c r="AX11" s="40"/>
      <c r="AY11" s="40"/>
      <c r="AZ11" s="1"/>
      <c r="BA11" s="40">
        <f>COUNT([5]Sheet1!$E$18:$M$27)</f>
        <v>45</v>
      </c>
      <c r="BB11" s="40"/>
    </row>
    <row r="12" spans="1:54" ht="27.6" customHeight="1" thickBot="1" x14ac:dyDescent="0.6">
      <c r="A12" s="15" t="s">
        <v>28</v>
      </c>
      <c r="B12" s="47"/>
      <c r="C12" s="13"/>
      <c r="D12" s="48"/>
      <c r="E12" s="48"/>
      <c r="F12" s="48"/>
      <c r="G12" s="48"/>
      <c r="H12" s="48"/>
      <c r="I12" s="13"/>
      <c r="J12" s="13"/>
      <c r="K12" s="49"/>
      <c r="L12" s="49"/>
      <c r="M12" s="49"/>
      <c r="N12" s="14"/>
      <c r="O12" s="50"/>
      <c r="P12" s="50"/>
      <c r="T12" s="5" t="s">
        <v>32</v>
      </c>
      <c r="U12" s="40"/>
      <c r="V12" s="1"/>
      <c r="W12" s="40"/>
      <c r="X12" s="40"/>
      <c r="Y12" s="40"/>
      <c r="Z12" s="40"/>
      <c r="AA12" s="40"/>
      <c r="AB12" s="1"/>
      <c r="AC12" s="1"/>
      <c r="AD12" s="40"/>
      <c r="AE12" s="40"/>
      <c r="AF12" s="40"/>
      <c r="AG12" s="1"/>
      <c r="AH12" s="40"/>
      <c r="AI12" s="40"/>
      <c r="AM12" s="5" t="s">
        <v>32</v>
      </c>
      <c r="AN12" s="40"/>
      <c r="AO12" s="1"/>
      <c r="AP12" s="40"/>
      <c r="AQ12" s="40"/>
      <c r="AR12" s="40"/>
      <c r="AS12" s="40"/>
      <c r="AT12" s="40"/>
      <c r="AU12" s="1"/>
      <c r="AV12" s="1"/>
      <c r="AW12" s="40"/>
      <c r="AX12" s="40"/>
      <c r="AY12" s="40"/>
      <c r="AZ12" s="1"/>
      <c r="BA12" s="40"/>
      <c r="BB12" s="40"/>
    </row>
    <row r="13" spans="1:54" ht="39" thickBot="1" x14ac:dyDescent="0.75">
      <c r="A13" s="16"/>
      <c r="B13" s="16"/>
      <c r="C13" s="16"/>
      <c r="D13" s="27"/>
      <c r="E13" s="27"/>
      <c r="F13" s="27"/>
      <c r="G13" s="27"/>
      <c r="H13" s="27"/>
      <c r="I13" s="16"/>
      <c r="J13" s="16"/>
      <c r="K13" s="19"/>
      <c r="L13" s="19"/>
      <c r="M13" s="19"/>
      <c r="N13" s="16"/>
      <c r="O13" s="24"/>
      <c r="P13" s="24"/>
      <c r="T13" s="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M13" s="5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28.8" customHeight="1" x14ac:dyDescent="0.55000000000000004">
      <c r="A14" s="12" t="s">
        <v>16</v>
      </c>
      <c r="B14" s="43" t="s">
        <v>5</v>
      </c>
      <c r="C14" s="17"/>
      <c r="D14" s="44">
        <f>SUM([7]Sheet1!$F$3:$AH$8)</f>
        <v>277220</v>
      </c>
      <c r="E14" s="44"/>
      <c r="F14" s="44"/>
      <c r="G14" s="44"/>
      <c r="H14" s="44"/>
      <c r="I14" s="17"/>
      <c r="J14" s="17"/>
      <c r="K14" s="45" t="s">
        <v>10</v>
      </c>
      <c r="L14" s="45"/>
      <c r="M14" s="45"/>
      <c r="N14" s="17"/>
      <c r="O14" s="42">
        <f>COUNT([7]Sheet1!$E$3:$X$6)</f>
        <v>32</v>
      </c>
      <c r="P14" s="42"/>
      <c r="T14" s="5" t="s">
        <v>13</v>
      </c>
      <c r="U14" s="40" t="s">
        <v>35</v>
      </c>
      <c r="V14" s="1"/>
      <c r="W14" s="40">
        <f>SUM([6]Sheet1!$D$24:$AD$38)</f>
        <v>337870</v>
      </c>
      <c r="X14" s="40"/>
      <c r="Y14" s="40"/>
      <c r="Z14" s="40"/>
      <c r="AA14" s="40"/>
      <c r="AB14" s="1"/>
      <c r="AC14" s="1"/>
      <c r="AD14" s="40" t="s">
        <v>10</v>
      </c>
      <c r="AE14" s="40"/>
      <c r="AF14" s="40"/>
      <c r="AG14" s="1"/>
      <c r="AH14" s="40">
        <f>COUNT([6]Sheet1!$E$24:$Y$38)</f>
        <v>147</v>
      </c>
      <c r="AI14" s="40"/>
      <c r="AM14" s="5" t="s">
        <v>19</v>
      </c>
      <c r="AN14" s="40" t="s">
        <v>44</v>
      </c>
      <c r="AO14" s="1"/>
      <c r="AP14" s="40">
        <f>SUM([5]Sheet1!$P$4:$Y$15)</f>
        <v>288970</v>
      </c>
      <c r="AQ14" s="40"/>
      <c r="AR14" s="40"/>
      <c r="AS14" s="40"/>
      <c r="AT14" s="40"/>
      <c r="AU14" s="1"/>
      <c r="AV14" s="1"/>
      <c r="AW14" s="40" t="s">
        <v>10</v>
      </c>
      <c r="AX14" s="40"/>
      <c r="AY14" s="40"/>
      <c r="AZ14" s="1"/>
      <c r="BA14" s="40">
        <f>COUNT([5]Sheet1!$E$32:$N$42)</f>
        <v>0</v>
      </c>
      <c r="BB14" s="40"/>
    </row>
    <row r="15" spans="1:54" ht="29.4" customHeight="1" thickBot="1" x14ac:dyDescent="0.6">
      <c r="A15" s="15" t="s">
        <v>28</v>
      </c>
      <c r="B15" s="43"/>
      <c r="C15" s="17"/>
      <c r="D15" s="44"/>
      <c r="E15" s="44"/>
      <c r="F15" s="44"/>
      <c r="G15" s="44"/>
      <c r="H15" s="44"/>
      <c r="I15" s="17"/>
      <c r="J15" s="17"/>
      <c r="K15" s="45"/>
      <c r="L15" s="45"/>
      <c r="M15" s="45"/>
      <c r="N15" s="17"/>
      <c r="O15" s="42"/>
      <c r="P15" s="42"/>
      <c r="T15" s="5" t="s">
        <v>32</v>
      </c>
      <c r="U15" s="40"/>
      <c r="V15" s="1"/>
      <c r="W15" s="40"/>
      <c r="X15" s="40"/>
      <c r="Y15" s="40"/>
      <c r="Z15" s="40"/>
      <c r="AA15" s="40"/>
      <c r="AB15" s="1"/>
      <c r="AC15" s="1"/>
      <c r="AD15" s="40"/>
      <c r="AE15" s="40"/>
      <c r="AF15" s="40"/>
      <c r="AG15" s="1"/>
      <c r="AH15" s="40"/>
      <c r="AI15" s="40"/>
      <c r="AM15" s="5" t="s">
        <v>32</v>
      </c>
      <c r="AN15" s="40"/>
      <c r="AO15" s="1"/>
      <c r="AP15" s="40"/>
      <c r="AQ15" s="40"/>
      <c r="AR15" s="40"/>
      <c r="AS15" s="40"/>
      <c r="AT15" s="40"/>
      <c r="AU15" s="1"/>
      <c r="AV15" s="1"/>
      <c r="AW15" s="40"/>
      <c r="AX15" s="40"/>
      <c r="AY15" s="40"/>
      <c r="AZ15" s="1"/>
      <c r="BA15" s="40"/>
      <c r="BB15" s="40"/>
    </row>
    <row r="16" spans="1:54" ht="39" thickBot="1" x14ac:dyDescent="0.75">
      <c r="A16" s="16"/>
      <c r="B16" s="17"/>
      <c r="C16" s="17"/>
      <c r="D16" s="28"/>
      <c r="E16" s="28"/>
      <c r="F16" s="28"/>
      <c r="G16" s="28"/>
      <c r="H16" s="28"/>
      <c r="I16" s="17"/>
      <c r="J16" s="17"/>
      <c r="K16" s="20"/>
      <c r="L16" s="20"/>
      <c r="M16" s="20"/>
      <c r="N16" s="17"/>
      <c r="O16" s="25"/>
      <c r="P16" s="2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M16" s="5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28.8" x14ac:dyDescent="0.55000000000000004">
      <c r="A17" s="12" t="s">
        <v>17</v>
      </c>
      <c r="B17" s="43" t="s">
        <v>6</v>
      </c>
      <c r="C17" s="17"/>
      <c r="D17" s="44">
        <f>SUM([7]Sheet1!$F$10:$AG$16)</f>
        <v>263800</v>
      </c>
      <c r="E17" s="44"/>
      <c r="F17" s="44"/>
      <c r="G17" s="44"/>
      <c r="H17" s="44"/>
      <c r="I17" s="17"/>
      <c r="J17" s="17"/>
      <c r="K17" s="45" t="s">
        <v>10</v>
      </c>
      <c r="L17" s="45"/>
      <c r="M17" s="45"/>
      <c r="N17" s="17"/>
      <c r="O17" s="42">
        <f>COUNT([7]Sheet1!$E$10:$Y$15)</f>
        <v>48</v>
      </c>
      <c r="P17" s="42"/>
      <c r="T17" s="5" t="s">
        <v>33</v>
      </c>
      <c r="U17" s="40">
        <v>0</v>
      </c>
      <c r="V17" s="1"/>
      <c r="W17" s="40">
        <f>SUM([6]Sheet1!$D$42:$AD$55)</f>
        <v>342010</v>
      </c>
      <c r="X17" s="40"/>
      <c r="Y17" s="40"/>
      <c r="Z17" s="40"/>
      <c r="AA17" s="40"/>
      <c r="AB17" s="1"/>
      <c r="AC17" s="1"/>
      <c r="AD17" s="40" t="s">
        <v>10</v>
      </c>
      <c r="AE17" s="40"/>
      <c r="AF17" s="40"/>
      <c r="AG17" s="1"/>
      <c r="AH17" s="40">
        <f>COUNT([6]Sheet1!$E$42:$Y$55)</f>
        <v>145</v>
      </c>
      <c r="AI17" s="40"/>
      <c r="AM17" s="5" t="s">
        <v>19</v>
      </c>
      <c r="AN17" s="40" t="s">
        <v>45</v>
      </c>
      <c r="AO17" s="1"/>
      <c r="AP17" s="40">
        <f>SUM([8]Sheet1!$B$2:$Q$16)</f>
        <v>150600</v>
      </c>
      <c r="AQ17" s="40"/>
      <c r="AR17" s="40"/>
      <c r="AS17" s="40"/>
      <c r="AT17" s="40"/>
      <c r="AU17" s="1"/>
      <c r="AV17" s="1"/>
      <c r="AW17" s="40" t="s">
        <v>10</v>
      </c>
      <c r="AX17" s="40"/>
      <c r="AY17" s="40"/>
      <c r="AZ17" s="1"/>
      <c r="BA17" s="40">
        <f>COUNT([8]Sheet1!$D$4:$AB$14)</f>
        <v>76</v>
      </c>
      <c r="BB17" s="40"/>
    </row>
    <row r="18" spans="1:54" ht="29.4" thickBot="1" x14ac:dyDescent="0.6">
      <c r="A18" s="15" t="s">
        <v>28</v>
      </c>
      <c r="B18" s="43"/>
      <c r="C18" s="17"/>
      <c r="D18" s="44"/>
      <c r="E18" s="44"/>
      <c r="F18" s="44"/>
      <c r="G18" s="44"/>
      <c r="H18" s="44"/>
      <c r="I18" s="17"/>
      <c r="J18" s="17"/>
      <c r="K18" s="45"/>
      <c r="L18" s="45"/>
      <c r="M18" s="45"/>
      <c r="N18" s="17"/>
      <c r="O18" s="42"/>
      <c r="P18" s="42"/>
      <c r="T18" s="5" t="s">
        <v>32</v>
      </c>
      <c r="U18" s="40"/>
      <c r="V18" s="1"/>
      <c r="W18" s="40"/>
      <c r="X18" s="40"/>
      <c r="Y18" s="40"/>
      <c r="Z18" s="40"/>
      <c r="AA18" s="40"/>
      <c r="AB18" s="1"/>
      <c r="AC18" s="1"/>
      <c r="AD18" s="40"/>
      <c r="AE18" s="40"/>
      <c r="AF18" s="40"/>
      <c r="AG18" s="1"/>
      <c r="AH18" s="40"/>
      <c r="AI18" s="40"/>
      <c r="AM18" s="5" t="s">
        <v>37</v>
      </c>
      <c r="AN18" s="40"/>
      <c r="AO18" s="1"/>
      <c r="AP18" s="40"/>
      <c r="AQ18" s="40"/>
      <c r="AR18" s="40"/>
      <c r="AS18" s="40"/>
      <c r="AT18" s="40"/>
      <c r="AU18" s="1"/>
      <c r="AV18" s="1"/>
      <c r="AW18" s="40"/>
      <c r="AX18" s="40"/>
      <c r="AY18" s="40"/>
      <c r="AZ18" s="1"/>
      <c r="BA18" s="40"/>
      <c r="BB18" s="40"/>
    </row>
    <row r="19" spans="1:54" ht="39" thickBot="1" x14ac:dyDescent="0.75">
      <c r="A19" s="16"/>
      <c r="B19" s="17"/>
      <c r="C19" s="17"/>
      <c r="D19" s="28"/>
      <c r="E19" s="28"/>
      <c r="F19" s="28"/>
      <c r="G19" s="28"/>
      <c r="H19" s="28"/>
      <c r="I19" s="17"/>
      <c r="J19" s="17"/>
      <c r="K19" s="20"/>
      <c r="L19" s="20"/>
      <c r="M19" s="20"/>
      <c r="N19" s="17"/>
      <c r="O19" s="25"/>
      <c r="P19" s="2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ht="28.8" x14ac:dyDescent="0.55000000000000004">
      <c r="A20" s="12" t="s">
        <v>18</v>
      </c>
      <c r="B20" s="43" t="s">
        <v>7</v>
      </c>
      <c r="C20" s="17"/>
      <c r="D20" s="44">
        <f>SUM([7]Sheet1!$D$19:$AH$28)</f>
        <v>239620</v>
      </c>
      <c r="E20" s="44"/>
      <c r="F20" s="44"/>
      <c r="G20" s="44"/>
      <c r="H20" s="44"/>
      <c r="I20" s="17"/>
      <c r="J20" s="17"/>
      <c r="K20" s="45" t="s">
        <v>10</v>
      </c>
      <c r="L20" s="45"/>
      <c r="M20" s="45"/>
      <c r="N20" s="17"/>
      <c r="O20" s="42">
        <f>COUNT([7]Sheet1!$E$19:$S$29)</f>
        <v>92</v>
      </c>
      <c r="P20" s="42"/>
      <c r="T20" s="5" t="s">
        <v>19</v>
      </c>
      <c r="U20" s="40" t="s">
        <v>36</v>
      </c>
      <c r="V20" s="1"/>
      <c r="W20" s="40">
        <f>SUM([6]Sheet1!$D$60:$AG$64)</f>
        <v>343230</v>
      </c>
      <c r="X20" s="40"/>
      <c r="Y20" s="40"/>
      <c r="Z20" s="40"/>
      <c r="AA20" s="40"/>
      <c r="AB20" s="1"/>
      <c r="AC20" s="1"/>
      <c r="AD20" s="40" t="s">
        <v>10</v>
      </c>
      <c r="AE20" s="40"/>
      <c r="AF20" s="40"/>
      <c r="AG20" s="1"/>
      <c r="AH20" s="40">
        <f>COUNT([6]Sheet1!$E$60:$V$63)</f>
        <v>36</v>
      </c>
      <c r="AI20" s="40"/>
      <c r="AM20" s="5" t="s">
        <v>15</v>
      </c>
      <c r="AN20" s="40" t="s">
        <v>46</v>
      </c>
      <c r="AO20" s="1"/>
      <c r="AP20" s="40">
        <f>SUM([8]Sheet1!$B$18:$Q$25)</f>
        <v>96350</v>
      </c>
      <c r="AQ20" s="40"/>
      <c r="AR20" s="40"/>
      <c r="AS20" s="40"/>
      <c r="AT20" s="40"/>
      <c r="AU20" s="1"/>
      <c r="AV20" s="1"/>
      <c r="AW20" s="40" t="s">
        <v>10</v>
      </c>
      <c r="AX20" s="40"/>
      <c r="AY20" s="40"/>
      <c r="AZ20" s="1"/>
      <c r="BA20" s="40">
        <f>COUNT([8]Sheet1!$C$19:$T$26)</f>
        <v>30</v>
      </c>
      <c r="BB20" s="40"/>
    </row>
    <row r="21" spans="1:54" ht="29.4" thickBot="1" x14ac:dyDescent="0.6">
      <c r="A21" s="15" t="s">
        <v>29</v>
      </c>
      <c r="B21" s="43"/>
      <c r="C21" s="17"/>
      <c r="D21" s="44"/>
      <c r="E21" s="44"/>
      <c r="F21" s="44"/>
      <c r="G21" s="44"/>
      <c r="H21" s="44"/>
      <c r="I21" s="17"/>
      <c r="J21" s="17"/>
      <c r="K21" s="45"/>
      <c r="L21" s="45"/>
      <c r="M21" s="45"/>
      <c r="N21" s="17"/>
      <c r="O21" s="42"/>
      <c r="P21" s="42"/>
      <c r="T21" s="5" t="s">
        <v>32</v>
      </c>
      <c r="U21" s="40"/>
      <c r="V21" s="1"/>
      <c r="W21" s="40"/>
      <c r="X21" s="40"/>
      <c r="Y21" s="40"/>
      <c r="Z21" s="40"/>
      <c r="AA21" s="40"/>
      <c r="AB21" s="1"/>
      <c r="AC21" s="1"/>
      <c r="AD21" s="40"/>
      <c r="AE21" s="40"/>
      <c r="AF21" s="40"/>
      <c r="AG21" s="1"/>
      <c r="AH21" s="40"/>
      <c r="AI21" s="40"/>
      <c r="AM21" s="5" t="s">
        <v>39</v>
      </c>
      <c r="AN21" s="40"/>
      <c r="AO21" s="1"/>
      <c r="AP21" s="40"/>
      <c r="AQ21" s="40"/>
      <c r="AR21" s="40"/>
      <c r="AS21" s="40"/>
      <c r="AT21" s="40"/>
      <c r="AU21" s="1"/>
      <c r="AV21" s="1"/>
      <c r="AW21" s="40"/>
      <c r="AX21" s="40"/>
      <c r="AY21" s="40"/>
      <c r="AZ21" s="1"/>
      <c r="BA21" s="40"/>
      <c r="BB21" s="40"/>
    </row>
    <row r="22" spans="1:54" ht="39" thickBot="1" x14ac:dyDescent="0.75">
      <c r="A22" s="16"/>
      <c r="B22" s="17"/>
      <c r="C22" s="17"/>
      <c r="D22" s="28"/>
      <c r="E22" s="28"/>
      <c r="F22" s="28"/>
      <c r="G22" s="28"/>
      <c r="H22" s="28"/>
      <c r="I22" s="17"/>
      <c r="J22" s="17"/>
      <c r="K22" s="20"/>
      <c r="L22" s="20"/>
      <c r="M22" s="20"/>
      <c r="N22" s="17"/>
      <c r="O22" s="25"/>
      <c r="P22" s="2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ht="28.8" x14ac:dyDescent="0.55000000000000004">
      <c r="A23" s="12" t="s">
        <v>20</v>
      </c>
      <c r="B23" s="43" t="s">
        <v>8</v>
      </c>
      <c r="C23" s="17"/>
      <c r="D23" s="44">
        <f>SUM([7]Sheet1!$D$33:$AE$38)</f>
        <v>383250</v>
      </c>
      <c r="E23" s="44"/>
      <c r="F23" s="44"/>
      <c r="G23" s="44"/>
      <c r="H23" s="44"/>
      <c r="I23" s="17"/>
      <c r="J23" s="17"/>
      <c r="K23" s="45" t="s">
        <v>10</v>
      </c>
      <c r="L23" s="45"/>
      <c r="M23" s="45"/>
      <c r="N23" s="17"/>
      <c r="O23" s="42">
        <f>COUNT([7]Sheet1!$E$33:$X$36)</f>
        <v>29</v>
      </c>
      <c r="P23" s="42"/>
      <c r="T23" s="5" t="s">
        <v>19</v>
      </c>
      <c r="U23" s="40" t="s">
        <v>38</v>
      </c>
      <c r="V23" s="1"/>
      <c r="W23" s="40">
        <f>SUM([4]Sheet1!$D$4:$AD$11)</f>
        <v>258960</v>
      </c>
      <c r="X23" s="40"/>
      <c r="Y23" s="40"/>
      <c r="Z23" s="40"/>
      <c r="AA23" s="40"/>
      <c r="AB23" s="1"/>
      <c r="AC23" s="1"/>
      <c r="AD23" s="40" t="s">
        <v>10</v>
      </c>
      <c r="AE23" s="40"/>
      <c r="AF23" s="40"/>
      <c r="AG23" s="1"/>
      <c r="AH23" s="40">
        <f>COUNT([4]Sheet1!$E$4:$R$8)</f>
        <v>37</v>
      </c>
      <c r="AI23" s="40"/>
      <c r="AM23" s="5" t="s">
        <v>33</v>
      </c>
      <c r="AN23" s="40" t="s">
        <v>47</v>
      </c>
      <c r="AO23" s="1"/>
      <c r="AP23" s="40">
        <f>SUM([8]Sheet1!$B$27:$Q$35)</f>
        <v>60880</v>
      </c>
      <c r="AQ23" s="40"/>
      <c r="AR23" s="40"/>
      <c r="AS23" s="40"/>
      <c r="AT23" s="40"/>
      <c r="AU23" s="1"/>
      <c r="AV23" s="1"/>
      <c r="AW23" s="40" t="s">
        <v>10</v>
      </c>
      <c r="AX23" s="40"/>
      <c r="AY23" s="40"/>
      <c r="AZ23" s="1"/>
      <c r="BA23" s="40">
        <f>COUNT([8]Sheet1!$C$26:$O$32)</f>
        <v>41</v>
      </c>
      <c r="BB23" s="40"/>
    </row>
    <row r="24" spans="1:54" ht="29.4" thickBot="1" x14ac:dyDescent="0.6">
      <c r="A24" s="15" t="s">
        <v>30</v>
      </c>
      <c r="B24" s="43"/>
      <c r="C24" s="17"/>
      <c r="D24" s="44"/>
      <c r="E24" s="44"/>
      <c r="F24" s="44"/>
      <c r="G24" s="44"/>
      <c r="H24" s="44"/>
      <c r="I24" s="17"/>
      <c r="J24" s="17"/>
      <c r="K24" s="45"/>
      <c r="L24" s="45"/>
      <c r="M24" s="45"/>
      <c r="N24" s="17"/>
      <c r="O24" s="42"/>
      <c r="P24" s="42"/>
      <c r="T24" s="5" t="s">
        <v>37</v>
      </c>
      <c r="U24" s="40"/>
      <c r="V24" s="1"/>
      <c r="W24" s="40"/>
      <c r="X24" s="40"/>
      <c r="Y24" s="40"/>
      <c r="Z24" s="40"/>
      <c r="AA24" s="40"/>
      <c r="AB24" s="1"/>
      <c r="AC24" s="1"/>
      <c r="AD24" s="40"/>
      <c r="AE24" s="40"/>
      <c r="AF24" s="40"/>
      <c r="AG24" s="1"/>
      <c r="AH24" s="40"/>
      <c r="AI24" s="40"/>
      <c r="AM24" s="5" t="s">
        <v>32</v>
      </c>
      <c r="AN24" s="40"/>
      <c r="AO24" s="1"/>
      <c r="AP24" s="40"/>
      <c r="AQ24" s="40"/>
      <c r="AR24" s="40"/>
      <c r="AS24" s="40"/>
      <c r="AT24" s="40"/>
      <c r="AU24" s="1"/>
      <c r="AV24" s="1"/>
      <c r="AW24" s="40"/>
      <c r="AX24" s="40"/>
      <c r="AY24" s="40"/>
      <c r="AZ24" s="1"/>
      <c r="BA24" s="40"/>
      <c r="BB24" s="40"/>
    </row>
    <row r="25" spans="1:54" ht="39" thickBot="1" x14ac:dyDescent="0.75">
      <c r="A25" s="16"/>
      <c r="B25" s="17"/>
      <c r="C25" s="17"/>
      <c r="D25" s="28"/>
      <c r="E25" s="28"/>
      <c r="F25" s="28"/>
      <c r="G25" s="28"/>
      <c r="H25" s="28"/>
      <c r="I25" s="17"/>
      <c r="J25" s="17"/>
      <c r="K25" s="20"/>
      <c r="L25" s="20"/>
      <c r="M25" s="20"/>
      <c r="N25" s="17"/>
      <c r="O25" s="25"/>
      <c r="P25" s="2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M25" s="5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28.8" x14ac:dyDescent="0.55000000000000004">
      <c r="A26" s="12" t="s">
        <v>19</v>
      </c>
      <c r="B26" s="43" t="s">
        <v>9</v>
      </c>
      <c r="C26" s="17"/>
      <c r="D26" s="44">
        <f>SUM([3]Sheet1!$D$4:$M$17)</f>
        <v>454950</v>
      </c>
      <c r="E26" s="44"/>
      <c r="F26" s="44"/>
      <c r="G26" s="44"/>
      <c r="H26" s="44"/>
      <c r="I26" s="17"/>
      <c r="J26" s="17"/>
      <c r="K26" s="45" t="s">
        <v>10</v>
      </c>
      <c r="L26" s="45"/>
      <c r="M26" s="45"/>
      <c r="N26" s="17"/>
      <c r="O26" s="42">
        <f>COUNT([3]Sheet1!$E$4:$P$15)</f>
        <v>58</v>
      </c>
      <c r="P26" s="42"/>
      <c r="T26" s="5" t="s">
        <v>15</v>
      </c>
      <c r="U26" s="40" t="s">
        <v>40</v>
      </c>
      <c r="V26" s="1"/>
      <c r="W26" s="40">
        <f>SUM([4]Sheet1!$D$13:$AD$27)</f>
        <v>172320</v>
      </c>
      <c r="X26" s="40"/>
      <c r="Y26" s="40"/>
      <c r="Z26" s="40"/>
      <c r="AA26" s="40"/>
      <c r="AB26" s="1"/>
      <c r="AC26" s="1"/>
      <c r="AD26" s="40" t="s">
        <v>10</v>
      </c>
      <c r="AE26" s="40"/>
      <c r="AF26" s="40"/>
      <c r="AG26" s="1"/>
      <c r="AH26" s="40">
        <f>COUNT([4]Sheet1!$E$14:$W$26)</f>
        <v>118</v>
      </c>
      <c r="AI26" s="40"/>
      <c r="AM26" s="5" t="s">
        <v>19</v>
      </c>
      <c r="AN26" s="40" t="s">
        <v>48</v>
      </c>
      <c r="AO26" s="1"/>
      <c r="AP26" s="40"/>
      <c r="AQ26" s="40"/>
      <c r="AR26" s="40"/>
      <c r="AS26" s="40"/>
      <c r="AT26" s="40"/>
      <c r="AU26" s="1"/>
      <c r="AV26" s="1"/>
      <c r="AW26" s="40" t="s">
        <v>10</v>
      </c>
      <c r="AX26" s="40"/>
      <c r="AY26" s="40"/>
      <c r="AZ26" s="1"/>
      <c r="BA26" s="40">
        <f>COUNT([5]Sheet1!$E$47:$N$49)</f>
        <v>0</v>
      </c>
      <c r="BB26" s="40"/>
    </row>
    <row r="27" spans="1:54" ht="29.4" thickBot="1" x14ac:dyDescent="0.6">
      <c r="A27" s="15" t="s">
        <v>31</v>
      </c>
      <c r="B27" s="43"/>
      <c r="C27" s="17"/>
      <c r="D27" s="44"/>
      <c r="E27" s="44"/>
      <c r="F27" s="44"/>
      <c r="G27" s="44"/>
      <c r="H27" s="44"/>
      <c r="I27" s="17"/>
      <c r="J27" s="17"/>
      <c r="K27" s="45"/>
      <c r="L27" s="45"/>
      <c r="M27" s="45"/>
      <c r="N27" s="17"/>
      <c r="O27" s="42"/>
      <c r="P27" s="42"/>
      <c r="T27" s="5" t="s">
        <v>39</v>
      </c>
      <c r="U27" s="40"/>
      <c r="V27" s="1"/>
      <c r="W27" s="40"/>
      <c r="X27" s="40"/>
      <c r="Y27" s="40"/>
      <c r="Z27" s="40"/>
      <c r="AA27" s="40"/>
      <c r="AB27" s="1"/>
      <c r="AC27" s="1"/>
      <c r="AD27" s="40"/>
      <c r="AE27" s="40"/>
      <c r="AF27" s="40"/>
      <c r="AG27" s="1"/>
      <c r="AH27" s="40"/>
      <c r="AI27" s="40"/>
      <c r="AM27" s="6" t="s">
        <v>32</v>
      </c>
      <c r="AN27" s="41"/>
      <c r="AO27" s="7"/>
      <c r="AP27" s="41"/>
      <c r="AQ27" s="41"/>
      <c r="AR27" s="41"/>
      <c r="AS27" s="41"/>
      <c r="AT27" s="41"/>
      <c r="AU27" s="7"/>
      <c r="AV27" s="7"/>
      <c r="AW27" s="41"/>
      <c r="AX27" s="41"/>
      <c r="AY27" s="41"/>
      <c r="AZ27" s="7"/>
      <c r="BA27" s="41"/>
      <c r="BB27" s="41"/>
    </row>
    <row r="28" spans="1:54" ht="38.4" x14ac:dyDescent="0.7">
      <c r="D28" s="29"/>
      <c r="E28" s="29"/>
      <c r="F28" s="29"/>
      <c r="G28" s="29"/>
      <c r="H28" s="29"/>
      <c r="K28" s="21"/>
      <c r="L28" s="21"/>
      <c r="M28" s="21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 spans="1:54" ht="28.8" x14ac:dyDescent="0.55000000000000004">
      <c r="A29" s="10" t="s">
        <v>52</v>
      </c>
      <c r="B29" s="36" t="s">
        <v>50</v>
      </c>
      <c r="C29" s="9"/>
      <c r="D29" s="37">
        <f>SUM(D2:H27)</f>
        <v>2767302</v>
      </c>
      <c r="E29" s="37"/>
      <c r="F29" s="37"/>
      <c r="G29" s="37"/>
      <c r="H29" s="37"/>
      <c r="I29" s="9"/>
      <c r="J29" s="9"/>
      <c r="K29" s="38" t="s">
        <v>11</v>
      </c>
      <c r="L29" s="38"/>
      <c r="M29" s="38"/>
      <c r="N29" s="9"/>
      <c r="O29" s="39">
        <f>SUM(O2:P27)</f>
        <v>817</v>
      </c>
      <c r="P29" s="39"/>
      <c r="T29" s="35" t="s">
        <v>53</v>
      </c>
      <c r="U29" s="35"/>
      <c r="V29" s="35" t="s">
        <v>54</v>
      </c>
      <c r="W29" s="35"/>
      <c r="X29" s="35"/>
      <c r="Y29" s="35"/>
    </row>
    <row r="30" spans="1:54" ht="28.8" x14ac:dyDescent="0.55000000000000004">
      <c r="A30" s="10"/>
      <c r="B30" s="36"/>
      <c r="C30" s="9"/>
      <c r="D30" s="37"/>
      <c r="E30" s="37"/>
      <c r="F30" s="37"/>
      <c r="G30" s="37"/>
      <c r="H30" s="37"/>
      <c r="I30" s="9"/>
      <c r="J30" s="9"/>
      <c r="K30" s="38"/>
      <c r="L30" s="38"/>
      <c r="M30" s="38"/>
      <c r="N30" s="9"/>
      <c r="O30" s="39"/>
      <c r="P30" s="39"/>
      <c r="T30" s="35">
        <v>67</v>
      </c>
      <c r="U30" s="11"/>
      <c r="V30" s="35">
        <f>D29*T30/100</f>
        <v>1854092.34</v>
      </c>
      <c r="W30" s="35"/>
      <c r="X30" s="35"/>
      <c r="Y30" s="35"/>
    </row>
    <row r="31" spans="1:54" ht="38.4" x14ac:dyDescent="0.7">
      <c r="A31" s="10"/>
      <c r="B31" s="9"/>
      <c r="C31" s="9"/>
      <c r="D31" s="30"/>
      <c r="E31" s="30"/>
      <c r="F31" s="30"/>
      <c r="G31" s="30"/>
      <c r="H31" s="30"/>
      <c r="I31" s="9"/>
      <c r="J31" s="9"/>
      <c r="K31" s="22"/>
      <c r="L31" s="22"/>
      <c r="M31" s="22"/>
      <c r="N31" s="9"/>
      <c r="O31" s="31"/>
      <c r="P31" s="31"/>
      <c r="T31" s="35"/>
      <c r="U31" s="11"/>
      <c r="V31" s="35"/>
      <c r="W31" s="35"/>
      <c r="X31" s="35"/>
      <c r="Y31" s="35"/>
      <c r="AB31" s="8">
        <v>21</v>
      </c>
      <c r="AC31" s="8">
        <v>22</v>
      </c>
      <c r="AD31" s="8" t="s">
        <v>57</v>
      </c>
      <c r="AE31" s="8" t="s">
        <v>56</v>
      </c>
      <c r="AF31" s="8">
        <v>20</v>
      </c>
      <c r="AH31">
        <f>COUNT(AA31:AF31)</f>
        <v>3</v>
      </c>
    </row>
    <row r="32" spans="1:54" ht="28.8" x14ac:dyDescent="0.55000000000000004">
      <c r="A32" s="10"/>
      <c r="B32" s="61" t="s">
        <v>27</v>
      </c>
      <c r="C32" s="9"/>
      <c r="D32" s="37">
        <f>SUM(W2:AA10)</f>
        <v>644810</v>
      </c>
      <c r="E32" s="37"/>
      <c r="F32" s="37"/>
      <c r="G32" s="37"/>
      <c r="H32" s="37"/>
      <c r="I32" s="9"/>
      <c r="J32" s="9"/>
      <c r="K32" s="38" t="s">
        <v>10</v>
      </c>
      <c r="L32" s="38"/>
      <c r="M32" s="38"/>
      <c r="N32" s="9"/>
      <c r="O32" s="39">
        <f>SUM(AH2:AI9)</f>
        <v>68</v>
      </c>
      <c r="P32" s="39"/>
      <c r="T32" s="11"/>
      <c r="U32" s="11"/>
      <c r="V32" s="11"/>
      <c r="W32" s="11"/>
      <c r="X32" s="11"/>
      <c r="Y32" s="11"/>
    </row>
    <row r="33" spans="1:29" ht="28.8" x14ac:dyDescent="0.55000000000000004">
      <c r="A33" s="10"/>
      <c r="B33" s="61"/>
      <c r="C33" s="9"/>
      <c r="D33" s="37"/>
      <c r="E33" s="37"/>
      <c r="F33" s="37"/>
      <c r="G33" s="37"/>
      <c r="H33" s="37"/>
      <c r="I33" s="9"/>
      <c r="J33" s="9"/>
      <c r="K33" s="38"/>
      <c r="L33" s="38"/>
      <c r="M33" s="38"/>
      <c r="N33" s="9"/>
      <c r="O33" s="39"/>
      <c r="P33" s="39"/>
      <c r="T33" s="35">
        <v>39</v>
      </c>
      <c r="U33" s="11"/>
      <c r="V33" s="35">
        <f>D32*T33/100</f>
        <v>251475.9</v>
      </c>
      <c r="W33" s="35"/>
      <c r="X33" s="35"/>
      <c r="Y33" s="35"/>
    </row>
    <row r="34" spans="1:29" ht="38.4" x14ac:dyDescent="0.7">
      <c r="A34" s="10"/>
      <c r="B34" s="9"/>
      <c r="C34" s="9"/>
      <c r="D34" s="30"/>
      <c r="E34" s="30"/>
      <c r="F34" s="30"/>
      <c r="G34" s="30"/>
      <c r="H34" s="30"/>
      <c r="I34" s="9"/>
      <c r="J34" s="9"/>
      <c r="K34" s="22"/>
      <c r="L34" s="22"/>
      <c r="M34" s="22"/>
      <c r="N34" s="9"/>
      <c r="O34" s="31"/>
      <c r="P34" s="31"/>
      <c r="T34" s="35"/>
      <c r="U34" s="11"/>
      <c r="V34" s="35"/>
      <c r="W34" s="35"/>
      <c r="X34" s="35"/>
      <c r="Y34" s="35"/>
    </row>
    <row r="35" spans="1:29" ht="28.8" x14ac:dyDescent="0.55000000000000004">
      <c r="A35" s="10"/>
      <c r="B35" s="36" t="s">
        <v>51</v>
      </c>
      <c r="C35" s="9"/>
      <c r="D35" s="37">
        <f>SUM(W11:AA27,AP2:AT27)</f>
        <v>3225540</v>
      </c>
      <c r="E35" s="37"/>
      <c r="F35" s="37"/>
      <c r="G35" s="37"/>
      <c r="H35" s="37"/>
      <c r="I35" s="9"/>
      <c r="J35" s="9"/>
      <c r="K35" s="38" t="s">
        <v>10</v>
      </c>
      <c r="L35" s="38"/>
      <c r="M35" s="38"/>
      <c r="N35" s="9"/>
      <c r="O35" s="39">
        <f>SUM(AH11:AI27,BA2:BB27)</f>
        <v>924</v>
      </c>
      <c r="P35" s="39"/>
      <c r="T35" s="11"/>
      <c r="U35" s="11"/>
      <c r="V35" s="11"/>
      <c r="W35" s="11"/>
      <c r="X35" s="11"/>
      <c r="Y35" s="11"/>
    </row>
    <row r="36" spans="1:29" ht="28.8" x14ac:dyDescent="0.55000000000000004">
      <c r="A36" s="10"/>
      <c r="B36" s="36"/>
      <c r="C36" s="9"/>
      <c r="D36" s="37"/>
      <c r="E36" s="37"/>
      <c r="F36" s="37"/>
      <c r="G36" s="37"/>
      <c r="H36" s="37"/>
      <c r="I36" s="9"/>
      <c r="J36" s="9"/>
      <c r="K36" s="38"/>
      <c r="L36" s="38"/>
      <c r="M36" s="38"/>
      <c r="N36" s="9"/>
      <c r="O36" s="39"/>
      <c r="P36" s="39"/>
      <c r="T36" s="35">
        <v>35</v>
      </c>
      <c r="U36" s="11"/>
      <c r="V36" s="35">
        <f>D35*T36/100</f>
        <v>1128939</v>
      </c>
      <c r="W36" s="35"/>
      <c r="X36" s="35"/>
      <c r="Y36" s="35"/>
    </row>
    <row r="37" spans="1:29" ht="38.4" x14ac:dyDescent="0.7">
      <c r="A37" s="10"/>
      <c r="B37" s="9"/>
      <c r="C37" s="9"/>
      <c r="D37" s="30"/>
      <c r="E37" s="30"/>
      <c r="F37" s="30"/>
      <c r="G37" s="30"/>
      <c r="H37" s="30"/>
      <c r="I37" s="9"/>
      <c r="J37" s="9"/>
      <c r="K37" s="22"/>
      <c r="L37" s="22"/>
      <c r="M37" s="22"/>
      <c r="N37" s="9"/>
      <c r="O37" s="31"/>
      <c r="P37" s="31"/>
      <c r="T37" s="35"/>
      <c r="U37" s="11"/>
      <c r="V37" s="35"/>
      <c r="W37" s="35"/>
      <c r="X37" s="35"/>
      <c r="Y37" s="35"/>
    </row>
    <row r="38" spans="1:29" ht="28.8" x14ac:dyDescent="0.55000000000000004">
      <c r="A38" s="10"/>
      <c r="B38" s="36"/>
      <c r="C38" s="9"/>
      <c r="D38" s="37">
        <f>SUM(D29:H36)</f>
        <v>6637652</v>
      </c>
      <c r="E38" s="37"/>
      <c r="F38" s="37"/>
      <c r="G38" s="37"/>
      <c r="H38" s="37"/>
      <c r="I38" s="9"/>
      <c r="J38" s="9"/>
      <c r="K38" s="38"/>
      <c r="L38" s="38"/>
      <c r="M38" s="38"/>
      <c r="N38" s="9"/>
      <c r="O38" s="39"/>
      <c r="P38" s="39"/>
      <c r="T38" s="11"/>
      <c r="U38" s="11"/>
      <c r="V38" s="11"/>
      <c r="W38" s="11"/>
      <c r="X38" s="11"/>
      <c r="Y38" s="11"/>
    </row>
    <row r="39" spans="1:29" ht="28.8" x14ac:dyDescent="0.55000000000000004">
      <c r="A39" s="10"/>
      <c r="B39" s="36"/>
      <c r="C39" s="9"/>
      <c r="D39" s="37"/>
      <c r="E39" s="37"/>
      <c r="F39" s="37"/>
      <c r="G39" s="37"/>
      <c r="H39" s="37"/>
      <c r="I39" s="9"/>
      <c r="J39" s="9"/>
      <c r="K39" s="38"/>
      <c r="L39" s="38"/>
      <c r="M39" s="38"/>
      <c r="N39" s="9"/>
      <c r="O39" s="39"/>
      <c r="P39" s="39"/>
      <c r="T39" s="35" t="s">
        <v>55</v>
      </c>
      <c r="U39" s="11"/>
      <c r="V39" s="35">
        <f>SUM(V30:Y38,V42)/1000</f>
        <v>3234.5072400000004</v>
      </c>
      <c r="W39" s="35"/>
      <c r="X39" s="35"/>
      <c r="Y39" s="35"/>
    </row>
    <row r="40" spans="1:29" ht="36.6" x14ac:dyDescent="0.7">
      <c r="A40" s="10"/>
      <c r="B40" s="9"/>
      <c r="C40" s="9"/>
      <c r="D40" s="9"/>
      <c r="E40" s="9"/>
      <c r="F40" s="9"/>
      <c r="G40" s="9"/>
      <c r="H40" s="9"/>
      <c r="I40" s="9"/>
      <c r="J40" s="9"/>
      <c r="K40" s="22"/>
      <c r="L40" s="22"/>
      <c r="M40" s="22"/>
      <c r="N40" s="9"/>
      <c r="O40" s="31"/>
      <c r="P40" s="31"/>
      <c r="T40" s="35"/>
      <c r="U40" s="11"/>
      <c r="V40" s="35"/>
      <c r="W40" s="35"/>
      <c r="X40" s="35"/>
      <c r="Y40" s="35"/>
    </row>
    <row r="41" spans="1:29" ht="36.6" x14ac:dyDescent="0.7">
      <c r="O41" s="32"/>
      <c r="P41" s="32"/>
      <c r="T41" s="11"/>
      <c r="U41" s="11"/>
      <c r="V41" s="11"/>
      <c r="W41" s="11"/>
      <c r="X41" s="11"/>
      <c r="Y41" s="11"/>
      <c r="AA41" s="34">
        <v>183</v>
      </c>
      <c r="AB41" s="34"/>
      <c r="AC41" s="34"/>
    </row>
    <row r="42" spans="1:29" ht="36.6" x14ac:dyDescent="0.7">
      <c r="O42" s="32"/>
      <c r="P42" s="32"/>
      <c r="V42" s="33"/>
      <c r="W42" s="33"/>
      <c r="X42" s="33"/>
      <c r="Y42" s="33"/>
    </row>
  </sheetData>
  <mergeCells count="136">
    <mergeCell ref="K35:M36"/>
    <mergeCell ref="O35:P36"/>
    <mergeCell ref="D35:H36"/>
    <mergeCell ref="B35:B36"/>
    <mergeCell ref="U26:U27"/>
    <mergeCell ref="W26:AA27"/>
    <mergeCell ref="AD26:AF27"/>
    <mergeCell ref="AW20:AY21"/>
    <mergeCell ref="BA20:BB21"/>
    <mergeCell ref="AW23:AY24"/>
    <mergeCell ref="BA23:BB24"/>
    <mergeCell ref="W23:AA24"/>
    <mergeCell ref="AD23:AF24"/>
    <mergeCell ref="AH23:AI24"/>
    <mergeCell ref="D20:H21"/>
    <mergeCell ref="K20:M21"/>
    <mergeCell ref="O20:P21"/>
    <mergeCell ref="B20:B21"/>
    <mergeCell ref="AP26:AT27"/>
    <mergeCell ref="AN2:AN3"/>
    <mergeCell ref="AP2:AT3"/>
    <mergeCell ref="AW2:AY3"/>
    <mergeCell ref="BA2:BB3"/>
    <mergeCell ref="B32:B33"/>
    <mergeCell ref="D32:H33"/>
    <mergeCell ref="K32:M33"/>
    <mergeCell ref="O32:P33"/>
    <mergeCell ref="AN5:AN6"/>
    <mergeCell ref="AP5:AT6"/>
    <mergeCell ref="AW5:AY6"/>
    <mergeCell ref="BA5:BB6"/>
    <mergeCell ref="AW8:AY9"/>
    <mergeCell ref="BA8:BB9"/>
    <mergeCell ref="AW11:AY12"/>
    <mergeCell ref="BA11:BB12"/>
    <mergeCell ref="AW14:AY15"/>
    <mergeCell ref="BA14:BB15"/>
    <mergeCell ref="W2:AA3"/>
    <mergeCell ref="AD2:AF3"/>
    <mergeCell ref="W14:AA15"/>
    <mergeCell ref="AD14:AF15"/>
    <mergeCell ref="O17:P18"/>
    <mergeCell ref="U23:U24"/>
    <mergeCell ref="AH11:AI12"/>
    <mergeCell ref="B2:B3"/>
    <mergeCell ref="D2:H3"/>
    <mergeCell ref="K2:M3"/>
    <mergeCell ref="O2:P3"/>
    <mergeCell ref="B5:B6"/>
    <mergeCell ref="D5:H6"/>
    <mergeCell ref="K5:M6"/>
    <mergeCell ref="O5:P6"/>
    <mergeCell ref="B11:B12"/>
    <mergeCell ref="D11:H12"/>
    <mergeCell ref="K11:M12"/>
    <mergeCell ref="O11:P12"/>
    <mergeCell ref="AH2:AI3"/>
    <mergeCell ref="U5:U6"/>
    <mergeCell ref="W5:AA6"/>
    <mergeCell ref="AD5:AF6"/>
    <mergeCell ref="AH5:AI6"/>
    <mergeCell ref="W8:AA9"/>
    <mergeCell ref="AD8:AF9"/>
    <mergeCell ref="AH8:AI9"/>
    <mergeCell ref="U2:U3"/>
    <mergeCell ref="U8:U9"/>
    <mergeCell ref="D17:H18"/>
    <mergeCell ref="B8:B9"/>
    <mergeCell ref="D8:H9"/>
    <mergeCell ref="K8:M9"/>
    <mergeCell ref="O8:P9"/>
    <mergeCell ref="U14:U15"/>
    <mergeCell ref="U11:U12"/>
    <mergeCell ref="W11:AA12"/>
    <mergeCell ref="AD11:AF12"/>
    <mergeCell ref="B14:B15"/>
    <mergeCell ref="AN8:AN9"/>
    <mergeCell ref="AP8:AT9"/>
    <mergeCell ref="AP11:AT12"/>
    <mergeCell ref="AP14:AT15"/>
    <mergeCell ref="AP17:AT18"/>
    <mergeCell ref="AP20:AT21"/>
    <mergeCell ref="AP23:AT24"/>
    <mergeCell ref="O23:P24"/>
    <mergeCell ref="B26:B27"/>
    <mergeCell ref="D26:H27"/>
    <mergeCell ref="K26:M27"/>
    <mergeCell ref="O26:P27"/>
    <mergeCell ref="B23:B24"/>
    <mergeCell ref="D23:H24"/>
    <mergeCell ref="K23:M24"/>
    <mergeCell ref="U20:U21"/>
    <mergeCell ref="AH14:AI15"/>
    <mergeCell ref="U17:U18"/>
    <mergeCell ref="W17:AA18"/>
    <mergeCell ref="B17:B18"/>
    <mergeCell ref="D14:H15"/>
    <mergeCell ref="K14:M15"/>
    <mergeCell ref="K17:M18"/>
    <mergeCell ref="O14:P15"/>
    <mergeCell ref="B38:B39"/>
    <mergeCell ref="D38:H39"/>
    <mergeCell ref="K38:M39"/>
    <mergeCell ref="O38:P39"/>
    <mergeCell ref="AW26:AY27"/>
    <mergeCell ref="BA26:BB27"/>
    <mergeCell ref="AN11:AN12"/>
    <mergeCell ref="AW17:AY18"/>
    <mergeCell ref="AN26:AN27"/>
    <mergeCell ref="AN20:AN21"/>
    <mergeCell ref="AN17:AN18"/>
    <mergeCell ref="AN14:AN15"/>
    <mergeCell ref="AN23:AN24"/>
    <mergeCell ref="B29:B30"/>
    <mergeCell ref="D29:H30"/>
    <mergeCell ref="K29:M30"/>
    <mergeCell ref="O29:P30"/>
    <mergeCell ref="AD17:AF18"/>
    <mergeCell ref="AH17:AI18"/>
    <mergeCell ref="W20:AA21"/>
    <mergeCell ref="AD20:AF21"/>
    <mergeCell ref="AH20:AI21"/>
    <mergeCell ref="AH26:AI27"/>
    <mergeCell ref="BA17:BB18"/>
    <mergeCell ref="V42:Y42"/>
    <mergeCell ref="AA41:AC41"/>
    <mergeCell ref="T39:T40"/>
    <mergeCell ref="V39:Y40"/>
    <mergeCell ref="V29:Y29"/>
    <mergeCell ref="V30:Y31"/>
    <mergeCell ref="V33:Y34"/>
    <mergeCell ref="T30:T31"/>
    <mergeCell ref="T33:T34"/>
    <mergeCell ref="T36:T37"/>
    <mergeCell ref="V36:Y37"/>
    <mergeCell ref="T29:U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dcterms:created xsi:type="dcterms:W3CDTF">2025-09-14T03:08:13Z</dcterms:created>
  <dcterms:modified xsi:type="dcterms:W3CDTF">2026-05-13T10:34:19Z</dcterms:modified>
</cp:coreProperties>
</file>