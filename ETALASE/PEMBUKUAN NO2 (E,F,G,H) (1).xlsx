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C0314CC8-707E-4347-8C26-1070E7DCF805}" xr6:coauthVersionLast="47" xr6:coauthVersionMax="47" xr10:uidLastSave="{00000000-0000-0000-0000-000000000000}"/>
  <bookViews>
    <workbookView xWindow="-108" yWindow="-108" windowWidth="23256" windowHeight="12456" xr2:uid="{1D8025E7-F165-4193-BE69-406C0B531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5" i="1"/>
  <c r="B24" i="1"/>
  <c r="B23" i="1"/>
  <c r="B22" i="1"/>
  <c r="B21" i="1"/>
  <c r="B20" i="1"/>
  <c r="B19" i="1"/>
  <c r="B14" i="1"/>
  <c r="B12" i="1"/>
  <c r="B10" i="1"/>
  <c r="B7" i="1"/>
  <c r="B5" i="1"/>
  <c r="B3" i="1"/>
  <c r="F45" i="1"/>
  <c r="N45" i="1"/>
  <c r="N48" i="1"/>
  <c r="B35" i="1"/>
  <c r="F48" i="1" s="1"/>
  <c r="N42" i="1"/>
  <c r="N39" i="1"/>
  <c r="F39" i="1" l="1"/>
  <c r="F42" i="1"/>
</calcChain>
</file>

<file path=xl/sharedStrings.xml><?xml version="1.0" encoding="utf-8"?>
<sst xmlns="http://schemas.openxmlformats.org/spreadsheetml/2006/main" count="25" uniqueCount="19">
  <si>
    <r>
      <t>KALUNG 16K NO1 (</t>
    </r>
    <r>
      <rPr>
        <sz val="22"/>
        <color rgb="FFFF0000"/>
        <rFont val="Calibri"/>
        <family val="2"/>
        <scheme val="minor"/>
      </rPr>
      <t>E</t>
    </r>
    <r>
      <rPr>
        <sz val="22"/>
        <color theme="1"/>
        <rFont val="Calibri"/>
        <family val="2"/>
        <scheme val="minor"/>
      </rPr>
      <t>)</t>
    </r>
  </si>
  <si>
    <r>
      <rPr>
        <sz val="22"/>
        <color theme="1"/>
        <rFont val="Calibri"/>
        <family val="2"/>
        <scheme val="minor"/>
      </rPr>
      <t xml:space="preserve">Kalung &amp; Liontin  16K </t>
    </r>
    <r>
      <rPr>
        <sz val="22"/>
        <color rgb="FFFF0000"/>
        <rFont val="Calibri"/>
        <family val="2"/>
        <scheme val="minor"/>
      </rPr>
      <t>(G)</t>
    </r>
  </si>
  <si>
    <r>
      <rPr>
        <sz val="22"/>
        <color theme="1"/>
        <rFont val="Calibri"/>
        <family val="2"/>
        <scheme val="minor"/>
      </rPr>
      <t>Gelang 16K (</t>
    </r>
    <r>
      <rPr>
        <sz val="22"/>
        <color rgb="FFFF0000"/>
        <rFont val="Calibri"/>
        <family val="2"/>
        <scheme val="minor"/>
      </rPr>
      <t>H</t>
    </r>
    <r>
      <rPr>
        <sz val="22"/>
        <color theme="1"/>
        <rFont val="Calibri"/>
        <family val="2"/>
        <scheme val="minor"/>
      </rPr>
      <t>)</t>
    </r>
  </si>
  <si>
    <t>KALUNG 16K NO 2 (F)</t>
  </si>
  <si>
    <t>E</t>
  </si>
  <si>
    <t>F</t>
  </si>
  <si>
    <t>G</t>
  </si>
  <si>
    <t>H</t>
  </si>
  <si>
    <t>TOTAL</t>
  </si>
  <si>
    <t>jumlah</t>
  </si>
  <si>
    <t xml:space="preserve">E. Itali santa </t>
  </si>
  <si>
    <t>Milano</t>
  </si>
  <si>
    <t>Tampar Rembo</t>
  </si>
  <si>
    <t>Rantai</t>
  </si>
  <si>
    <t>Fansy</t>
  </si>
  <si>
    <t xml:space="preserve">     </t>
  </si>
  <si>
    <t>LION BAMBU</t>
  </si>
  <si>
    <t>ANAK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</si>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</sst>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6E3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3" xfId="0" applyFill="1" applyBorder="1"/>
    <xf numFmtId="0" fontId="1" fillId="2" borderId="3" xfId="0" applyFont="1" applyFill="1" applyBorder="1" applyAlignment="1">
      <alignment horizontal="center"/>
    </xf>
    <xf numFmtId="0" fontId="0" fillId="2" borderId="8" xfId="0" applyFill="1" applyBorder="1"/>
    <xf numFmtId="0" fontId="0" fillId="3" borderId="8" xfId="0" applyFill="1" applyBorder="1"/>
    <xf numFmtId="0" fontId="0" fillId="0" borderId="8" xfId="0" applyBorder="1"/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4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EEBC-A834-4CEF-87CF-E8C7E9BC5703}">
  <dimension ref="B1:AG49"/>
  <sheetViews>
    <sheetView tabSelected="1" zoomScale="64" zoomScaleNormal="130" workbookViewId="0">
      <selection activeCell="AM33" sqref="AM33"/>
    </sheetView>
  </sheetViews>
  <sheetFormatPr defaultRowHeight="14.4" x14ac:dyDescent="0.3"/>
  <cols>
    <col min="1" max="1" width="13.88671875" customWidth="1"/>
    <col min="2" max="15" width="6.5546875" customWidth="1"/>
    <col min="16" max="16" width="7.21875" customWidth="1"/>
    <col min="17" max="17" width="7.33203125" customWidth="1"/>
    <col min="18" max="18" width="6" customWidth="1"/>
    <col min="19" max="19" width="7.6640625" customWidth="1"/>
    <col min="20" max="28" width="6" customWidth="1"/>
    <col min="29" max="29" width="10.44140625" customWidth="1"/>
    <col min="30" max="39" width="6" customWidth="1"/>
  </cols>
  <sheetData>
    <row r="1" spans="2:33" ht="14.4" customHeight="1" x14ac:dyDescent="0.55000000000000004">
      <c r="B1" s="7"/>
      <c r="C1" s="8"/>
      <c r="D1" s="9"/>
      <c r="E1" s="9"/>
      <c r="F1" s="10"/>
      <c r="G1" s="10"/>
      <c r="H1" s="10"/>
      <c r="I1" s="10"/>
      <c r="J1" s="10"/>
      <c r="K1" s="28" t="s">
        <v>0</v>
      </c>
      <c r="L1" s="28"/>
      <c r="M1" s="28"/>
      <c r="N1" s="28"/>
      <c r="O1" s="28"/>
      <c r="P1" s="28"/>
      <c r="Q1" s="10"/>
      <c r="R1" s="10"/>
      <c r="S1" s="10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2"/>
    </row>
    <row r="2" spans="2:33" ht="14.4" customHeight="1" x14ac:dyDescent="0.55000000000000004">
      <c r="B2" s="39" t="s">
        <v>8</v>
      </c>
      <c r="C2" s="40"/>
      <c r="D2" s="3"/>
      <c r="E2" s="3"/>
      <c r="F2" s="4"/>
      <c r="G2" s="4"/>
      <c r="H2" s="4"/>
      <c r="I2" s="4"/>
      <c r="J2" s="4"/>
      <c r="K2" s="29"/>
      <c r="L2" s="29"/>
      <c r="M2" s="29"/>
      <c r="N2" s="29"/>
      <c r="O2" s="29"/>
      <c r="P2" s="29"/>
      <c r="Q2" s="4"/>
      <c r="R2" s="4"/>
      <c r="S2" s="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3"/>
    </row>
    <row r="3" spans="2:33" x14ac:dyDescent="0.3">
      <c r="B3" s="39">
        <f>SUM(F3:AU3)</f>
        <v>89240</v>
      </c>
      <c r="C3" s="40"/>
      <c r="D3" s="45" t="s">
        <v>10</v>
      </c>
      <c r="E3" s="45"/>
      <c r="F3" s="3"/>
      <c r="G3" s="3">
        <v>12000</v>
      </c>
      <c r="H3" s="3">
        <v>11620</v>
      </c>
      <c r="I3" s="3">
        <v>9790</v>
      </c>
      <c r="J3" s="3">
        <v>8120</v>
      </c>
      <c r="K3" s="3"/>
      <c r="L3" s="3">
        <v>6010</v>
      </c>
      <c r="M3" s="3">
        <v>6000</v>
      </c>
      <c r="N3" s="3">
        <v>5840</v>
      </c>
      <c r="O3" s="3">
        <v>5010</v>
      </c>
      <c r="P3" s="3">
        <v>4920</v>
      </c>
      <c r="Q3" s="3">
        <v>4900</v>
      </c>
      <c r="R3" s="3">
        <v>4860</v>
      </c>
      <c r="S3" s="3">
        <v>4030</v>
      </c>
      <c r="T3" s="3">
        <v>3980</v>
      </c>
      <c r="U3" s="3">
        <v>2160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3"/>
    </row>
    <row r="4" spans="2:33" x14ac:dyDescent="0.3">
      <c r="B4" s="1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3"/>
    </row>
    <row r="5" spans="2:33" x14ac:dyDescent="0.3">
      <c r="B5" s="39">
        <f>SUM(F5:AU5)</f>
        <v>126340</v>
      </c>
      <c r="C5" s="40"/>
      <c r="D5" s="45" t="s">
        <v>11</v>
      </c>
      <c r="E5" s="45"/>
      <c r="F5" s="3"/>
      <c r="G5" s="3">
        <v>9710</v>
      </c>
      <c r="H5" s="3">
        <v>9480</v>
      </c>
      <c r="I5" s="3">
        <v>7350</v>
      </c>
      <c r="J5" s="3">
        <v>6820</v>
      </c>
      <c r="K5" s="3">
        <v>6710</v>
      </c>
      <c r="L5" s="3">
        <v>6470</v>
      </c>
      <c r="M5" s="3">
        <v>6000</v>
      </c>
      <c r="N5" s="3">
        <v>5890</v>
      </c>
      <c r="O5" s="6">
        <v>5860</v>
      </c>
      <c r="P5" s="3">
        <v>5660</v>
      </c>
      <c r="Q5" s="3">
        <v>5400</v>
      </c>
      <c r="R5" s="3">
        <v>5110</v>
      </c>
      <c r="S5" s="3">
        <v>4940</v>
      </c>
      <c r="T5" s="3">
        <v>4930</v>
      </c>
      <c r="U5" s="3">
        <v>4760</v>
      </c>
      <c r="V5" s="3">
        <v>4590</v>
      </c>
      <c r="W5" s="3">
        <v>4480</v>
      </c>
      <c r="X5" s="3">
        <v>4040</v>
      </c>
      <c r="Y5" s="3">
        <v>4000</v>
      </c>
      <c r="Z5" s="3">
        <v>3990</v>
      </c>
      <c r="AA5" s="3">
        <v>3840</v>
      </c>
      <c r="AB5" s="3">
        <v>3540</v>
      </c>
      <c r="AC5" s="3">
        <v>2770</v>
      </c>
      <c r="AD5" s="3"/>
      <c r="AE5" s="3"/>
      <c r="AF5" s="3"/>
      <c r="AG5" s="13"/>
    </row>
    <row r="6" spans="2:33" x14ac:dyDescent="0.3">
      <c r="B6" s="1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3"/>
    </row>
    <row r="7" spans="2:33" ht="19.8" customHeight="1" thickBot="1" x14ac:dyDescent="0.35">
      <c r="B7" s="39">
        <f>SUM(F7:AU7)</f>
        <v>61640</v>
      </c>
      <c r="C7" s="40"/>
      <c r="D7" s="46" t="s">
        <v>12</v>
      </c>
      <c r="E7" s="46"/>
      <c r="F7" s="15"/>
      <c r="G7" s="15">
        <v>8220</v>
      </c>
      <c r="H7" s="15">
        <v>7660</v>
      </c>
      <c r="I7" s="15">
        <v>7090</v>
      </c>
      <c r="J7" s="15">
        <v>6950</v>
      </c>
      <c r="K7" s="15">
        <v>5100</v>
      </c>
      <c r="L7" s="15">
        <v>5040</v>
      </c>
      <c r="M7" s="15">
        <v>4900</v>
      </c>
      <c r="N7" s="15">
        <v>4640</v>
      </c>
      <c r="O7" s="15">
        <v>4060</v>
      </c>
      <c r="P7" s="15">
        <v>4020</v>
      </c>
      <c r="Q7" s="15">
        <v>3960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/>
    </row>
    <row r="8" spans="2:33" ht="14.4" customHeight="1" thickBot="1" x14ac:dyDescent="0.6">
      <c r="B8" s="36"/>
      <c r="C8" s="36"/>
      <c r="I8" s="18"/>
      <c r="J8" s="18"/>
      <c r="K8" s="18"/>
      <c r="L8" s="18"/>
      <c r="M8" s="18"/>
      <c r="N8" s="18"/>
      <c r="O8" s="2"/>
      <c r="P8" s="2"/>
    </row>
    <row r="9" spans="2:33" ht="14.4" customHeight="1" x14ac:dyDescent="0.35">
      <c r="B9" s="43" t="s">
        <v>8</v>
      </c>
      <c r="C9" s="44"/>
      <c r="D9" s="9"/>
      <c r="E9" s="9"/>
      <c r="F9" s="9"/>
      <c r="G9" s="9"/>
      <c r="H9" s="47" t="s">
        <v>3</v>
      </c>
      <c r="I9" s="47"/>
      <c r="J9" s="47"/>
      <c r="K9" s="47"/>
      <c r="L9" s="47"/>
      <c r="M9" s="47"/>
      <c r="N9" s="47"/>
      <c r="O9" s="17"/>
      <c r="P9" s="1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2"/>
    </row>
    <row r="10" spans="2:33" ht="14.4" customHeight="1" x14ac:dyDescent="0.3">
      <c r="B10" s="39">
        <f>SUM(F10:AU10)</f>
        <v>109510</v>
      </c>
      <c r="C10" s="40"/>
      <c r="D10" s="26" t="s">
        <v>13</v>
      </c>
      <c r="E10" s="26"/>
      <c r="F10" s="3"/>
      <c r="G10" s="3">
        <v>10010</v>
      </c>
      <c r="H10" s="3">
        <v>10010</v>
      </c>
      <c r="I10" s="3">
        <v>9980</v>
      </c>
      <c r="J10" s="3">
        <v>8120</v>
      </c>
      <c r="K10" s="3">
        <v>8080</v>
      </c>
      <c r="L10" s="6">
        <v>7690</v>
      </c>
      <c r="M10" s="6">
        <v>7450</v>
      </c>
      <c r="N10" s="3">
        <v>7100</v>
      </c>
      <c r="O10" s="3">
        <v>7070</v>
      </c>
      <c r="P10" s="3">
        <v>6480</v>
      </c>
      <c r="Q10" s="6">
        <v>5830</v>
      </c>
      <c r="R10" s="3">
        <v>5080</v>
      </c>
      <c r="S10" s="3">
        <v>4950</v>
      </c>
      <c r="T10" s="3">
        <v>4940</v>
      </c>
      <c r="U10" s="3">
        <v>3630</v>
      </c>
      <c r="V10" s="3">
        <v>3090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3"/>
    </row>
    <row r="11" spans="2:33" ht="14.4" customHeight="1" x14ac:dyDescent="0.3">
      <c r="B11" s="39"/>
      <c r="C11" s="40"/>
      <c r="D11" s="26"/>
      <c r="E11" s="2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3"/>
    </row>
    <row r="12" spans="2:33" x14ac:dyDescent="0.3">
      <c r="B12" s="39">
        <f>SUM(F12:AU12)</f>
        <v>133340</v>
      </c>
      <c r="C12" s="40"/>
      <c r="D12" s="26" t="s">
        <v>14</v>
      </c>
      <c r="E12" s="26"/>
      <c r="F12" s="3"/>
      <c r="G12" s="3">
        <v>9860</v>
      </c>
      <c r="H12" s="3">
        <v>8300</v>
      </c>
      <c r="I12" s="3">
        <v>7730</v>
      </c>
      <c r="J12" s="3">
        <v>7030</v>
      </c>
      <c r="K12" s="3">
        <v>6830</v>
      </c>
      <c r="L12" s="3">
        <v>6480</v>
      </c>
      <c r="M12" s="3">
        <v>5850</v>
      </c>
      <c r="N12" s="3">
        <v>5730</v>
      </c>
      <c r="O12" s="3">
        <v>5630</v>
      </c>
      <c r="P12" s="3">
        <v>5500</v>
      </c>
      <c r="Q12" s="3">
        <v>5440</v>
      </c>
      <c r="R12" s="3">
        <v>5250</v>
      </c>
      <c r="S12" s="3">
        <v>5110</v>
      </c>
      <c r="T12" s="3">
        <v>4970</v>
      </c>
      <c r="U12" s="3">
        <v>4940</v>
      </c>
      <c r="V12" s="3">
        <v>4810</v>
      </c>
      <c r="W12" s="3">
        <v>4780</v>
      </c>
      <c r="X12" s="3">
        <v>4140</v>
      </c>
      <c r="Y12" s="3">
        <v>4000</v>
      </c>
      <c r="Z12" s="3">
        <v>3820</v>
      </c>
      <c r="AA12" s="3">
        <v>3750</v>
      </c>
      <c r="AB12" s="3">
        <v>3030</v>
      </c>
      <c r="AC12" s="3">
        <v>2930</v>
      </c>
      <c r="AD12" s="3">
        <v>2900</v>
      </c>
      <c r="AE12" s="3">
        <v>2600</v>
      </c>
      <c r="AF12" s="6">
        <v>1930</v>
      </c>
      <c r="AG12" s="13"/>
    </row>
    <row r="13" spans="2:33" x14ac:dyDescent="0.3">
      <c r="B13" s="39"/>
      <c r="C13" s="40"/>
      <c r="D13" s="26"/>
      <c r="E13" s="2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3"/>
    </row>
    <row r="14" spans="2:33" x14ac:dyDescent="0.3">
      <c r="B14" s="39">
        <f>SUM(F14:AU14)</f>
        <v>20530</v>
      </c>
      <c r="C14" s="40"/>
      <c r="D14" s="26" t="s">
        <v>17</v>
      </c>
      <c r="E14" s="26"/>
      <c r="F14" s="3"/>
      <c r="G14" s="3"/>
      <c r="H14" s="3">
        <v>2180</v>
      </c>
      <c r="I14" s="3">
        <v>2120</v>
      </c>
      <c r="J14" s="3">
        <v>1960</v>
      </c>
      <c r="K14" s="3">
        <v>1830</v>
      </c>
      <c r="L14" s="3">
        <v>2130</v>
      </c>
      <c r="M14" s="3">
        <v>1550</v>
      </c>
      <c r="N14" s="3">
        <v>1100</v>
      </c>
      <c r="O14" s="3">
        <v>3030</v>
      </c>
      <c r="P14" s="3">
        <v>2370</v>
      </c>
      <c r="Q14" s="3">
        <v>2260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3"/>
    </row>
    <row r="15" spans="2:33" ht="15" thickBot="1" x14ac:dyDescent="0.35">
      <c r="B15" s="41"/>
      <c r="C15" s="42"/>
      <c r="D15" s="24" t="s">
        <v>16</v>
      </c>
      <c r="E15" s="24"/>
      <c r="F15" s="15"/>
      <c r="G15" s="15"/>
      <c r="H15" s="15"/>
      <c r="I15" s="15"/>
      <c r="J15" s="15"/>
      <c r="K15" s="15"/>
      <c r="L15" s="15"/>
      <c r="M15" s="15">
        <v>1140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6"/>
    </row>
    <row r="16" spans="2:33" ht="15" thickBot="1" x14ac:dyDescent="0.35">
      <c r="B16" s="36"/>
      <c r="C16" s="36"/>
      <c r="D16" s="25"/>
      <c r="E16" s="25"/>
    </row>
    <row r="17" spans="2:33" ht="15.6" customHeight="1" x14ac:dyDescent="0.55000000000000004">
      <c r="B17" s="43"/>
      <c r="C17" s="44"/>
      <c r="D17" s="9"/>
      <c r="E17" s="9"/>
      <c r="F17" s="9"/>
      <c r="G17" s="9"/>
      <c r="H17" s="28" t="s">
        <v>1</v>
      </c>
      <c r="I17" s="28"/>
      <c r="J17" s="28"/>
      <c r="K17" s="28"/>
      <c r="L17" s="28"/>
      <c r="M17" s="28"/>
      <c r="N17" s="28"/>
      <c r="O17" s="11"/>
      <c r="P17" s="11"/>
      <c r="Q17" s="1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2"/>
    </row>
    <row r="18" spans="2:33" ht="18.600000000000001" customHeight="1" x14ac:dyDescent="0.55000000000000004">
      <c r="B18" s="39" t="s">
        <v>8</v>
      </c>
      <c r="C18" s="40"/>
      <c r="D18" s="3"/>
      <c r="E18" s="3"/>
      <c r="F18" s="3"/>
      <c r="G18" s="3"/>
      <c r="H18" s="29"/>
      <c r="I18" s="29"/>
      <c r="J18" s="29"/>
      <c r="K18" s="29"/>
      <c r="L18" s="29"/>
      <c r="M18" s="29"/>
      <c r="N18" s="29"/>
      <c r="O18" s="5"/>
      <c r="P18" s="5"/>
      <c r="Q18" s="5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13"/>
    </row>
    <row r="19" spans="2:33" x14ac:dyDescent="0.3">
      <c r="B19" s="39">
        <f t="shared" ref="B19:B25" si="0">SUM(F19:AU19)</f>
        <v>1420</v>
      </c>
      <c r="C19" s="40"/>
      <c r="D19" s="3"/>
      <c r="E19" s="3"/>
      <c r="F19" s="3"/>
      <c r="G19" s="3"/>
      <c r="H19" s="3"/>
      <c r="I19" s="3"/>
      <c r="J19" s="3"/>
      <c r="K19" s="3"/>
      <c r="L19" s="3">
        <v>1420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3"/>
    </row>
    <row r="20" spans="2:33" ht="14.4" customHeight="1" x14ac:dyDescent="0.3">
      <c r="B20" s="39">
        <f t="shared" si="0"/>
        <v>26060</v>
      </c>
      <c r="C20" s="40"/>
      <c r="D20" s="3"/>
      <c r="E20" s="3"/>
      <c r="F20" s="3"/>
      <c r="G20" s="3">
        <v>2100</v>
      </c>
      <c r="H20" s="3">
        <v>2360</v>
      </c>
      <c r="I20" s="3">
        <v>2280</v>
      </c>
      <c r="J20" s="3">
        <v>2390</v>
      </c>
      <c r="K20" s="3">
        <v>2360</v>
      </c>
      <c r="L20" s="3">
        <v>2940</v>
      </c>
      <c r="M20" s="3">
        <v>2510</v>
      </c>
      <c r="N20" s="3">
        <v>2800</v>
      </c>
      <c r="O20" s="3">
        <v>2850</v>
      </c>
      <c r="P20" s="3">
        <v>3470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13"/>
    </row>
    <row r="21" spans="2:33" ht="14.4" customHeight="1" x14ac:dyDescent="0.3">
      <c r="B21" s="39">
        <f t="shared" si="0"/>
        <v>22850</v>
      </c>
      <c r="C21" s="40"/>
      <c r="D21" s="3"/>
      <c r="E21" s="3"/>
      <c r="F21" s="3">
        <v>1900</v>
      </c>
      <c r="G21" s="3">
        <v>2220</v>
      </c>
      <c r="H21" s="3">
        <v>1780</v>
      </c>
      <c r="I21" s="3">
        <v>2100</v>
      </c>
      <c r="J21" s="3">
        <v>1750</v>
      </c>
      <c r="K21" s="3">
        <v>1870</v>
      </c>
      <c r="L21" s="3">
        <v>2590</v>
      </c>
      <c r="M21" s="3">
        <v>1960</v>
      </c>
      <c r="N21" s="3">
        <v>2200</v>
      </c>
      <c r="O21" s="3">
        <v>2330</v>
      </c>
      <c r="P21" s="3">
        <v>2150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13"/>
    </row>
    <row r="22" spans="2:33" x14ac:dyDescent="0.3">
      <c r="B22" s="39">
        <f t="shared" si="0"/>
        <v>20740</v>
      </c>
      <c r="C22" s="40"/>
      <c r="D22" s="3"/>
      <c r="E22" s="3"/>
      <c r="F22" s="3">
        <v>1630</v>
      </c>
      <c r="G22" s="3">
        <v>1830</v>
      </c>
      <c r="H22" s="3">
        <v>1520</v>
      </c>
      <c r="I22" s="3">
        <v>1610</v>
      </c>
      <c r="J22" s="3">
        <v>1590</v>
      </c>
      <c r="K22" s="3">
        <v>1580</v>
      </c>
      <c r="L22" s="3">
        <v>1740</v>
      </c>
      <c r="M22" s="3">
        <v>1710</v>
      </c>
      <c r="N22" s="3">
        <v>1970</v>
      </c>
      <c r="O22" s="3">
        <v>1980</v>
      </c>
      <c r="P22" s="3">
        <v>1910</v>
      </c>
      <c r="Q22" s="3">
        <v>1670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3"/>
    </row>
    <row r="23" spans="2:33" x14ac:dyDescent="0.3">
      <c r="B23" s="39">
        <f t="shared" si="0"/>
        <v>22110</v>
      </c>
      <c r="C23" s="40"/>
      <c r="D23" s="3"/>
      <c r="E23" s="3"/>
      <c r="F23" s="3">
        <v>1510</v>
      </c>
      <c r="G23" s="3">
        <v>1570</v>
      </c>
      <c r="H23" s="3">
        <v>1440</v>
      </c>
      <c r="I23" s="3">
        <v>1500</v>
      </c>
      <c r="J23" s="3">
        <v>1590</v>
      </c>
      <c r="K23" s="3">
        <v>1470</v>
      </c>
      <c r="L23" s="3">
        <v>1090</v>
      </c>
      <c r="M23" s="3">
        <v>1480</v>
      </c>
      <c r="N23" s="3">
        <v>1410</v>
      </c>
      <c r="O23" s="3">
        <v>1150</v>
      </c>
      <c r="P23" s="3">
        <v>1370</v>
      </c>
      <c r="Q23" s="3">
        <v>1590</v>
      </c>
      <c r="R23" s="3">
        <v>2140</v>
      </c>
      <c r="S23" s="3">
        <v>1670</v>
      </c>
      <c r="T23" s="3">
        <v>1130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3"/>
    </row>
    <row r="24" spans="2:33" x14ac:dyDescent="0.3">
      <c r="B24" s="39">
        <f t="shared" si="0"/>
        <v>18930</v>
      </c>
      <c r="C24" s="40"/>
      <c r="D24" s="3"/>
      <c r="E24" s="3"/>
      <c r="F24" s="3">
        <v>860</v>
      </c>
      <c r="G24" s="6">
        <v>970</v>
      </c>
      <c r="H24" s="3">
        <v>1320</v>
      </c>
      <c r="I24" s="3">
        <v>1270</v>
      </c>
      <c r="J24" s="3">
        <v>1160</v>
      </c>
      <c r="K24" s="3">
        <v>1160</v>
      </c>
      <c r="L24" s="3">
        <v>1330</v>
      </c>
      <c r="M24" s="3">
        <v>1380</v>
      </c>
      <c r="N24" s="3">
        <v>1360</v>
      </c>
      <c r="O24" s="3">
        <v>1260</v>
      </c>
      <c r="P24" s="3">
        <v>1310</v>
      </c>
      <c r="Q24" s="3">
        <v>1390</v>
      </c>
      <c r="R24" s="3">
        <v>940</v>
      </c>
      <c r="S24" s="3">
        <v>920</v>
      </c>
      <c r="T24" s="3">
        <v>1130</v>
      </c>
      <c r="U24" s="3"/>
      <c r="V24" s="3">
        <v>1170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13"/>
    </row>
    <row r="25" spans="2:33" x14ac:dyDescent="0.3">
      <c r="B25" s="39">
        <f t="shared" si="0"/>
        <v>16830</v>
      </c>
      <c r="C25" s="40"/>
      <c r="D25" s="3"/>
      <c r="E25" s="3"/>
      <c r="F25" s="3">
        <v>760</v>
      </c>
      <c r="G25" s="3">
        <v>1170</v>
      </c>
      <c r="H25" s="3">
        <v>1130</v>
      </c>
      <c r="I25" s="3">
        <v>1050</v>
      </c>
      <c r="J25" s="3">
        <v>630</v>
      </c>
      <c r="K25" s="3">
        <v>1070</v>
      </c>
      <c r="L25" s="3">
        <v>1050</v>
      </c>
      <c r="M25" s="3">
        <v>1000</v>
      </c>
      <c r="N25" s="3">
        <v>750</v>
      </c>
      <c r="O25" s="3">
        <v>830</v>
      </c>
      <c r="P25" s="3">
        <v>810</v>
      </c>
      <c r="Q25" s="3">
        <v>750</v>
      </c>
      <c r="R25" s="3">
        <v>670</v>
      </c>
      <c r="S25" s="3">
        <v>670</v>
      </c>
      <c r="T25" s="3">
        <v>580</v>
      </c>
      <c r="U25" s="3">
        <v>1210</v>
      </c>
      <c r="V25" s="3">
        <v>1120</v>
      </c>
      <c r="W25" s="3">
        <v>770</v>
      </c>
      <c r="X25" s="3">
        <v>810</v>
      </c>
      <c r="Y25" s="3"/>
      <c r="Z25" s="3"/>
      <c r="AA25" s="3"/>
      <c r="AB25" s="3"/>
      <c r="AC25" s="3"/>
      <c r="AD25" s="3"/>
      <c r="AE25" s="3"/>
      <c r="AF25" s="3"/>
      <c r="AG25" s="13"/>
    </row>
    <row r="26" spans="2:33" x14ac:dyDescent="0.3">
      <c r="B26" s="39"/>
      <c r="C26" s="40"/>
      <c r="D26" s="3"/>
      <c r="E26" s="3"/>
      <c r="F26" s="3"/>
      <c r="G26" s="3"/>
      <c r="H26" s="3"/>
      <c r="I26" s="3"/>
      <c r="J26" s="3"/>
      <c r="K26" s="3"/>
      <c r="L26" s="3" t="s">
        <v>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13"/>
    </row>
    <row r="27" spans="2:33" ht="15" thickBot="1" x14ac:dyDescent="0.35">
      <c r="B27" s="41">
        <f>SUM(F27:AU27)</f>
        <v>89420</v>
      </c>
      <c r="C27" s="42"/>
      <c r="D27" s="15"/>
      <c r="E27" s="15"/>
      <c r="F27" s="15"/>
      <c r="G27" s="15"/>
      <c r="H27" s="15">
        <v>6280</v>
      </c>
      <c r="I27" s="15">
        <v>5920</v>
      </c>
      <c r="J27" s="15">
        <v>5890</v>
      </c>
      <c r="K27" s="15">
        <v>5780</v>
      </c>
      <c r="L27" s="15">
        <v>5240</v>
      </c>
      <c r="M27" s="15">
        <v>5170</v>
      </c>
      <c r="N27" s="15">
        <v>5120</v>
      </c>
      <c r="O27" s="15">
        <v>5240</v>
      </c>
      <c r="P27" s="15">
        <v>5020</v>
      </c>
      <c r="Q27" s="15">
        <v>4980</v>
      </c>
      <c r="R27" s="15">
        <v>4780</v>
      </c>
      <c r="S27" s="15">
        <v>4170</v>
      </c>
      <c r="T27" s="15">
        <v>3950</v>
      </c>
      <c r="U27" s="15">
        <v>3950</v>
      </c>
      <c r="V27" s="15">
        <v>3950</v>
      </c>
      <c r="W27" s="15">
        <v>3940</v>
      </c>
      <c r="X27" s="15">
        <v>3690</v>
      </c>
      <c r="Y27" s="15"/>
      <c r="Z27" s="15">
        <v>3650</v>
      </c>
      <c r="AA27" s="15">
        <v>2700</v>
      </c>
      <c r="AB27" s="15"/>
      <c r="AC27" s="15"/>
      <c r="AD27" s="15"/>
      <c r="AE27" s="15"/>
      <c r="AF27" s="15"/>
      <c r="AG27" s="16"/>
    </row>
    <row r="28" spans="2:33" x14ac:dyDescent="0.3">
      <c r="B28" s="36"/>
      <c r="C28" s="36"/>
    </row>
    <row r="29" spans="2:33" x14ac:dyDescent="0.3">
      <c r="B29" s="36"/>
      <c r="C29" s="36"/>
    </row>
    <row r="30" spans="2:33" ht="15" thickBot="1" x14ac:dyDescent="0.35">
      <c r="B30" s="36"/>
      <c r="C30" s="36"/>
    </row>
    <row r="31" spans="2:33" ht="18" customHeight="1" x14ac:dyDescent="0.55000000000000004">
      <c r="B31" s="37"/>
      <c r="C31" s="38"/>
      <c r="D31" s="20"/>
      <c r="E31" s="20"/>
      <c r="F31" s="20"/>
      <c r="G31" s="20"/>
      <c r="H31" s="20"/>
      <c r="I31" s="30" t="s">
        <v>2</v>
      </c>
      <c r="J31" s="30"/>
      <c r="K31" s="30"/>
      <c r="L31" s="30"/>
      <c r="M31" s="30"/>
      <c r="N31" s="21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9"/>
      <c r="AF31" s="9"/>
      <c r="AG31" s="12"/>
    </row>
    <row r="32" spans="2:33" ht="16.8" customHeight="1" x14ac:dyDescent="0.55000000000000004">
      <c r="B32" s="32" t="s">
        <v>8</v>
      </c>
      <c r="C32" s="33"/>
      <c r="D32" s="6"/>
      <c r="E32" s="6"/>
      <c r="F32" s="6"/>
      <c r="G32" s="6"/>
      <c r="H32" s="6"/>
      <c r="I32" s="31"/>
      <c r="J32" s="31"/>
      <c r="K32" s="31"/>
      <c r="L32" s="31"/>
      <c r="M32" s="31"/>
      <c r="N32" s="19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3"/>
      <c r="AF32" s="3"/>
      <c r="AG32" s="13"/>
    </row>
    <row r="33" spans="2:33" x14ac:dyDescent="0.3">
      <c r="B33" s="32"/>
      <c r="C33" s="33"/>
      <c r="D33" s="6"/>
      <c r="E33" s="6">
        <v>9890</v>
      </c>
      <c r="F33" s="6">
        <v>14730</v>
      </c>
      <c r="G33" s="6">
        <v>11080</v>
      </c>
      <c r="H33" s="6">
        <v>9490</v>
      </c>
      <c r="I33" s="6">
        <v>7040</v>
      </c>
      <c r="L33" s="6"/>
      <c r="M33" s="6"/>
      <c r="P33" s="6">
        <v>9310</v>
      </c>
      <c r="Q33" s="6">
        <v>7830</v>
      </c>
      <c r="R33">
        <v>7950</v>
      </c>
      <c r="W33" s="6"/>
      <c r="X33" s="6"/>
      <c r="Y33" s="6"/>
      <c r="Z33" s="6"/>
      <c r="AA33" s="6"/>
      <c r="AB33" s="6"/>
      <c r="AC33" s="6"/>
      <c r="AD33" s="6"/>
      <c r="AE33" s="3"/>
      <c r="AF33" s="3"/>
      <c r="AG33" s="13"/>
    </row>
    <row r="34" spans="2:33" ht="14.4" customHeight="1" x14ac:dyDescent="0.3">
      <c r="B34" s="32"/>
      <c r="C34" s="3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3"/>
      <c r="AF34" s="3"/>
      <c r="AG34" s="13"/>
    </row>
    <row r="35" spans="2:33" ht="14.4" customHeight="1" x14ac:dyDescent="0.3">
      <c r="B35" s="32">
        <f>SUM(E33:AD37)</f>
        <v>368600</v>
      </c>
      <c r="C35" s="33"/>
      <c r="D35" s="6"/>
      <c r="E35" s="6">
        <v>14500</v>
      </c>
      <c r="F35" s="6">
        <v>14330</v>
      </c>
      <c r="G35" s="6">
        <v>13400</v>
      </c>
      <c r="H35" s="6">
        <v>13080</v>
      </c>
      <c r="I35" s="6">
        <v>12480</v>
      </c>
      <c r="J35" s="6">
        <v>11270</v>
      </c>
      <c r="K35" s="6">
        <v>10760</v>
      </c>
      <c r="L35" s="6">
        <v>10090</v>
      </c>
      <c r="M35" s="6"/>
      <c r="N35" s="6">
        <v>9250</v>
      </c>
      <c r="O35" s="6">
        <v>8780</v>
      </c>
      <c r="P35" s="6">
        <v>8170</v>
      </c>
      <c r="Q35" s="6">
        <v>8010</v>
      </c>
      <c r="R35" s="6">
        <v>7850</v>
      </c>
      <c r="S35" s="6">
        <v>7740</v>
      </c>
      <c r="T35" s="6">
        <v>7680</v>
      </c>
      <c r="U35" s="6"/>
      <c r="V35" s="6"/>
      <c r="W35" s="6">
        <v>7650</v>
      </c>
      <c r="X35" s="6">
        <v>7630</v>
      </c>
      <c r="Y35" s="6">
        <v>7320</v>
      </c>
      <c r="Z35" s="6">
        <v>7210</v>
      </c>
      <c r="AA35" s="6">
        <v>6950</v>
      </c>
      <c r="AB35" s="6">
        <v>6480</v>
      </c>
      <c r="AC35" s="6"/>
      <c r="AD35" s="6"/>
      <c r="AE35" s="3"/>
      <c r="AF35" s="3"/>
      <c r="AG35" s="13"/>
    </row>
    <row r="36" spans="2:33" x14ac:dyDescent="0.3">
      <c r="B36" s="32"/>
      <c r="C36" s="33"/>
      <c r="D36" s="6"/>
      <c r="E36" s="6"/>
      <c r="F36" s="6"/>
      <c r="G36" s="6"/>
      <c r="H36" s="6"/>
      <c r="I36" s="6"/>
      <c r="J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D36" s="6"/>
      <c r="AE36" s="3"/>
      <c r="AF36" s="3"/>
      <c r="AG36" s="13"/>
    </row>
    <row r="37" spans="2:33" ht="15" thickBot="1" x14ac:dyDescent="0.35">
      <c r="B37" s="34"/>
      <c r="C37" s="35"/>
      <c r="D37" s="22"/>
      <c r="E37" s="22">
        <v>5950</v>
      </c>
      <c r="F37" s="22">
        <v>5930</v>
      </c>
      <c r="G37" s="22">
        <v>5840</v>
      </c>
      <c r="H37" s="22"/>
      <c r="I37" s="22">
        <v>5580</v>
      </c>
      <c r="J37" s="22">
        <v>5240</v>
      </c>
      <c r="K37" s="22">
        <v>5160</v>
      </c>
      <c r="L37" s="22">
        <v>4950</v>
      </c>
      <c r="M37" s="22"/>
      <c r="N37" s="22">
        <v>4880</v>
      </c>
      <c r="O37" s="22">
        <v>4820</v>
      </c>
      <c r="P37" s="22">
        <v>4780</v>
      </c>
      <c r="Q37" s="22">
        <v>4650</v>
      </c>
      <c r="R37" s="6">
        <v>4460</v>
      </c>
      <c r="S37" s="22">
        <v>4210</v>
      </c>
      <c r="T37" s="22">
        <v>3800</v>
      </c>
      <c r="U37" s="22"/>
      <c r="V37" s="6">
        <v>3620</v>
      </c>
      <c r="W37" s="22">
        <v>3320</v>
      </c>
      <c r="X37" s="6">
        <v>2860</v>
      </c>
      <c r="Y37" s="23">
        <v>2350</v>
      </c>
      <c r="Z37" s="22"/>
      <c r="AA37" s="22">
        <v>2130</v>
      </c>
      <c r="AB37" s="22">
        <v>2060</v>
      </c>
      <c r="AC37" s="22">
        <v>2100</v>
      </c>
      <c r="AD37" s="22">
        <v>1960</v>
      </c>
      <c r="AE37" s="22">
        <v>1830</v>
      </c>
      <c r="AF37" s="15"/>
      <c r="AG37" s="16"/>
    </row>
    <row r="39" spans="2:33" ht="16.8" customHeight="1" x14ac:dyDescent="0.55000000000000004">
      <c r="D39" s="27" t="s">
        <v>4</v>
      </c>
      <c r="E39" s="1"/>
      <c r="F39" s="27">
        <f>SUM(B3:C7)</f>
        <v>277220</v>
      </c>
      <c r="G39" s="27"/>
      <c r="H39" s="27"/>
      <c r="I39" s="1"/>
      <c r="J39" s="27" t="s">
        <v>9</v>
      </c>
      <c r="K39" s="27"/>
      <c r="L39" s="27"/>
      <c r="M39" s="1"/>
      <c r="N39" s="27">
        <f>COUNT(G3:AD7)</f>
        <v>48</v>
      </c>
      <c r="O39" s="27"/>
    </row>
    <row r="40" spans="2:33" ht="28.8" x14ac:dyDescent="0.55000000000000004">
      <c r="D40" s="27"/>
      <c r="E40" s="1"/>
      <c r="F40" s="27"/>
      <c r="G40" s="27"/>
      <c r="H40" s="27"/>
      <c r="I40" s="1"/>
      <c r="J40" s="27"/>
      <c r="K40" s="27"/>
      <c r="L40" s="27"/>
      <c r="M40" s="1"/>
      <c r="N40" s="27"/>
      <c r="O40" s="27"/>
    </row>
    <row r="41" spans="2:33" ht="28.8" x14ac:dyDescent="0.55000000000000004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X41" t="s">
        <v>18</v>
      </c>
    </row>
    <row r="42" spans="2:33" ht="18.600000000000001" customHeight="1" x14ac:dyDescent="0.55000000000000004">
      <c r="D42" s="27" t="s">
        <v>5</v>
      </c>
      <c r="E42" s="1"/>
      <c r="F42" s="27">
        <f>SUM(B10:C15)</f>
        <v>263380</v>
      </c>
      <c r="G42" s="27"/>
      <c r="H42" s="27"/>
      <c r="I42" s="1"/>
      <c r="J42" s="27" t="s">
        <v>9</v>
      </c>
      <c r="K42" s="27"/>
      <c r="L42" s="27"/>
      <c r="M42" s="1"/>
      <c r="N42" s="27">
        <f>COUNT(F10:AJ15)</f>
        <v>53</v>
      </c>
      <c r="O42" s="27"/>
    </row>
    <row r="43" spans="2:33" ht="20.399999999999999" customHeight="1" x14ac:dyDescent="0.55000000000000004">
      <c r="D43" s="27"/>
      <c r="E43" s="1"/>
      <c r="F43" s="27"/>
      <c r="G43" s="27"/>
      <c r="H43" s="27"/>
      <c r="I43" s="1"/>
      <c r="J43" s="27"/>
      <c r="K43" s="27"/>
      <c r="L43" s="27"/>
      <c r="M43" s="1"/>
      <c r="N43" s="27"/>
      <c r="O43" s="27"/>
    </row>
    <row r="44" spans="2:33" ht="19.2" customHeight="1" x14ac:dyDescent="0.55000000000000004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33" ht="22.2" customHeight="1" x14ac:dyDescent="0.55000000000000004">
      <c r="D45" s="27" t="s">
        <v>6</v>
      </c>
      <c r="E45" s="1"/>
      <c r="F45" s="27">
        <f>SUM(D19:W29)</f>
        <v>207510</v>
      </c>
      <c r="G45" s="27"/>
      <c r="H45" s="27"/>
      <c r="I45" s="1"/>
      <c r="J45" s="27" t="s">
        <v>9</v>
      </c>
      <c r="K45" s="27"/>
      <c r="L45" s="27"/>
      <c r="M45" s="1"/>
      <c r="N45" s="27">
        <f>COUNT(D19:Y29)</f>
        <v>101</v>
      </c>
      <c r="O45" s="27"/>
    </row>
    <row r="46" spans="2:33" ht="16.8" customHeight="1" x14ac:dyDescent="0.55000000000000004">
      <c r="D46" s="27"/>
      <c r="E46" s="1"/>
      <c r="F46" s="27"/>
      <c r="G46" s="27"/>
      <c r="H46" s="27"/>
      <c r="I46" s="1"/>
      <c r="J46" s="27"/>
      <c r="K46" s="27"/>
      <c r="L46" s="27"/>
      <c r="M46" s="1"/>
      <c r="N46" s="27"/>
      <c r="O46" s="27"/>
    </row>
    <row r="47" spans="2:33" ht="28.8" x14ac:dyDescent="0.55000000000000004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33" ht="17.399999999999999" customHeight="1" x14ac:dyDescent="0.55000000000000004">
      <c r="D48" s="27" t="s">
        <v>7</v>
      </c>
      <c r="E48" s="1"/>
      <c r="F48" s="27">
        <f>SUM(B33:C36)</f>
        <v>368600</v>
      </c>
      <c r="G48" s="27"/>
      <c r="H48" s="27"/>
      <c r="I48" s="1"/>
      <c r="J48" s="27" t="s">
        <v>9</v>
      </c>
      <c r="K48" s="27"/>
      <c r="L48" s="27"/>
      <c r="M48" s="1"/>
      <c r="N48" s="27">
        <f>COUNT(E33:AD37)</f>
        <v>51</v>
      </c>
      <c r="O48" s="27"/>
    </row>
    <row r="49" spans="4:15" ht="28.8" x14ac:dyDescent="0.55000000000000004">
      <c r="D49" s="27"/>
      <c r="E49" s="1"/>
      <c r="F49" s="27"/>
      <c r="G49" s="27"/>
      <c r="H49" s="27"/>
      <c r="I49" s="1"/>
      <c r="J49" s="27"/>
      <c r="K49" s="27"/>
      <c r="L49" s="27"/>
      <c r="M49" s="1"/>
      <c r="N49" s="27"/>
      <c r="O49" s="27"/>
    </row>
  </sheetData>
  <mergeCells count="64">
    <mergeCell ref="K1:P2"/>
    <mergeCell ref="B2:C2"/>
    <mergeCell ref="B3:C3"/>
    <mergeCell ref="B5:C5"/>
    <mergeCell ref="B7:C7"/>
    <mergeCell ref="D3:E3"/>
    <mergeCell ref="D5:E5"/>
    <mergeCell ref="D7:E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D39:D40"/>
    <mergeCell ref="D42:D43"/>
    <mergeCell ref="D45:D46"/>
    <mergeCell ref="D48:D49"/>
    <mergeCell ref="F39:H40"/>
    <mergeCell ref="F42:H43"/>
    <mergeCell ref="F45:H46"/>
    <mergeCell ref="F48:H49"/>
    <mergeCell ref="H17:N18"/>
    <mergeCell ref="I31:M32"/>
    <mergeCell ref="J42:L43"/>
    <mergeCell ref="J39:L40"/>
    <mergeCell ref="N39:O40"/>
    <mergeCell ref="J45:L46"/>
    <mergeCell ref="J48:L49"/>
    <mergeCell ref="N42:O43"/>
    <mergeCell ref="N45:O46"/>
    <mergeCell ref="N48:O49"/>
    <mergeCell ref="D15:E15"/>
    <mergeCell ref="D16:E16"/>
    <mergeCell ref="H9:N9"/>
    <mergeCell ref="D10:E10"/>
    <mergeCell ref="D11:E11"/>
    <mergeCell ref="D12:E12"/>
    <mergeCell ref="D13:E13"/>
    <mergeCell ref="D14:E14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E0D629-A577-43C7-A91A-62F91810B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dcterms:created xsi:type="dcterms:W3CDTF">2025-09-07T22:51:08Z</dcterms:created>
  <dcterms:modified xsi:type="dcterms:W3CDTF">2026-05-21T06:17:48Z</dcterms:modified>
</cp:coreProperties>
</file>