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da\LAPORAN KEUANGAN\ETALASE\"/>
    </mc:Choice>
  </mc:AlternateContent>
  <xr:revisionPtr revIDLastSave="0" documentId="13_ncr:1_{7B4B4F40-7307-4A94-B16E-CA1E633AB603}" xr6:coauthVersionLast="47" xr6:coauthVersionMax="47" xr10:uidLastSave="{00000000-0000-0000-0000-000000000000}"/>
  <bookViews>
    <workbookView xWindow="-108" yWindow="-108" windowWidth="23256" windowHeight="12456" activeTab="1" xr2:uid="{36A3240B-18E1-4B18-B769-BE6BF9034022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6" i="1"/>
  <c r="B8" i="1"/>
  <c r="B10" i="1"/>
  <c r="B12" i="1"/>
  <c r="B14" i="1"/>
  <c r="B16" i="1"/>
  <c r="B18" i="1"/>
  <c r="B23" i="1"/>
  <c r="B26" i="1"/>
  <c r="B28" i="1"/>
  <c r="B30" i="1"/>
  <c r="B32" i="1"/>
  <c r="B34" i="1"/>
  <c r="B36" i="1"/>
  <c r="B41" i="1"/>
  <c r="B44" i="1"/>
  <c r="B46" i="1"/>
  <c r="B48" i="1"/>
  <c r="B50" i="1"/>
  <c r="B52" i="1"/>
  <c r="B54" i="1"/>
  <c r="B60" i="1"/>
  <c r="B63" i="1"/>
  <c r="AB77" i="1" l="1"/>
  <c r="J90" i="1"/>
  <c r="T77" i="1" l="1"/>
  <c r="F90" i="1"/>
  <c r="L90" i="1" s="1"/>
  <c r="AB68" i="1" l="1"/>
  <c r="AB74" i="1" l="1"/>
  <c r="AB71" i="1"/>
  <c r="T71" i="1" l="1"/>
  <c r="T74" i="1"/>
  <c r="T68" i="1"/>
</calcChain>
</file>

<file path=xl/sharedStrings.xml><?xml version="1.0" encoding="utf-8"?>
<sst xmlns="http://schemas.openxmlformats.org/spreadsheetml/2006/main" count="54" uniqueCount="25">
  <si>
    <t>Cincin 8K No1 (M)</t>
  </si>
  <si>
    <r>
      <t>Cincin 8K No2 (N</t>
    </r>
    <r>
      <rPr>
        <sz val="22"/>
        <color rgb="FFFF0000"/>
        <rFont val="Calibri"/>
        <family val="2"/>
        <scheme val="minor"/>
      </rPr>
      <t>)</t>
    </r>
  </si>
  <si>
    <r>
      <rPr>
        <sz val="22"/>
        <color theme="1"/>
        <rFont val="Calibri"/>
        <family val="2"/>
        <scheme val="minor"/>
      </rPr>
      <t xml:space="preserve">Cincin 8K No2 </t>
    </r>
    <r>
      <rPr>
        <sz val="22"/>
        <color rgb="FFFF0000"/>
        <rFont val="Calibri"/>
        <family val="2"/>
        <scheme val="minor"/>
      </rPr>
      <t>(O)</t>
    </r>
  </si>
  <si>
    <t>GELANG R. 8K (P)</t>
  </si>
  <si>
    <t>Atas</t>
  </si>
  <si>
    <t>TOTAL</t>
  </si>
  <si>
    <t>jumlah</t>
  </si>
  <si>
    <t>M</t>
  </si>
  <si>
    <t>N</t>
  </si>
  <si>
    <t>O</t>
  </si>
  <si>
    <t>P</t>
  </si>
  <si>
    <t>BERAT</t>
  </si>
  <si>
    <t>K.BAKI</t>
  </si>
  <si>
    <t>NOVEMBER</t>
  </si>
  <si>
    <t>HILANG</t>
  </si>
  <si>
    <t>MISTERIUS</t>
  </si>
  <si>
    <t xml:space="preserve"> </t>
  </si>
  <si>
    <t xml:space="preserve">  </t>
  </si>
  <si>
    <t>KODE</t>
  </si>
  <si>
    <t>FEBUARI</t>
  </si>
  <si>
    <t xml:space="preserve">   </t>
  </si>
  <si>
    <t>ATAS</t>
  </si>
  <si>
    <t>BAWAH</t>
  </si>
  <si>
    <t>MARET &amp; APRIL</t>
  </si>
  <si>
    <t xml:space="preserve">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</si>
</sst>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25"/>
      <color theme="1"/>
      <name val="Calibri"/>
      <family val="2"/>
      <scheme val="minor"/>
    </font>
    <font>
      <sz val="21"/>
      <color theme="1"/>
      <name val="Calibri"/>
      <family val="2"/>
      <scheme val="minor"/>
    </font>
    <font>
      <sz val="8"/>
      <name val="Calibri"/>
      <family val="2"/>
      <scheme val="minor"/>
    </font>
    <font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75CC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7" xfId="0" applyFill="1" applyBorder="1"/>
    <xf numFmtId="0" fontId="0" fillId="0" borderId="13" xfId="0" applyBorder="1" applyAlignment="1">
      <alignment horizontal="center" vertical="center"/>
    </xf>
    <xf numFmtId="0" fontId="0" fillId="3" borderId="2" xfId="0" applyFill="1" applyBorder="1"/>
    <xf numFmtId="0" fontId="0" fillId="0" borderId="3" xfId="0" applyBorder="1" applyAlignment="1">
      <alignment horizontal="center" vertical="center"/>
    </xf>
    <xf numFmtId="0" fontId="0" fillId="3" borderId="6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textRotation="255" wrapText="1"/>
    </xf>
    <xf numFmtId="0" fontId="0" fillId="0" borderId="12" xfId="0" applyBorder="1"/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4" xfId="0" applyBorder="1"/>
    <xf numFmtId="0" fontId="1" fillId="0" borderId="14" xfId="0" applyFont="1" applyBorder="1"/>
    <xf numFmtId="0" fontId="0" fillId="2" borderId="14" xfId="0" applyFill="1" applyBorder="1"/>
    <xf numFmtId="0" fontId="0" fillId="0" borderId="3" xfId="0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0" borderId="14" xfId="0" applyBorder="1" applyAlignment="1">
      <alignment horizontal="center"/>
    </xf>
    <xf numFmtId="0" fontId="0" fillId="0" borderId="8" xfId="0" applyBorder="1"/>
    <xf numFmtId="0" fontId="1" fillId="2" borderId="1" xfId="0" applyFont="1" applyFill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0" fillId="3" borderId="1" xfId="0" applyFill="1" applyBorder="1"/>
    <xf numFmtId="0" fontId="0" fillId="2" borderId="8" xfId="0" applyFill="1" applyBorder="1"/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14" xfId="0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9"/>
                <c:pt idx="0">
                  <c:v>1810</c:v>
                </c:pt>
                <c:pt idx="1">
                  <c:v>1810</c:v>
                </c:pt>
                <c:pt idx="2">
                  <c:v>1820</c:v>
                </c:pt>
                <c:pt idx="3">
                  <c:v>1790</c:v>
                </c:pt>
                <c:pt idx="4">
                  <c:v>1760</c:v>
                </c:pt>
                <c:pt idx="5">
                  <c:v>1790</c:v>
                </c:pt>
                <c:pt idx="6">
                  <c:v>1810</c:v>
                </c:pt>
                <c:pt idx="7">
                  <c:v>1890</c:v>
                </c:pt>
                <c:pt idx="8">
                  <c:v>1890</c:v>
                </c:pt>
                <c:pt idx="9">
                  <c:v>1780</c:v>
                </c:pt>
                <c:pt idx="10">
                  <c:v>1950</c:v>
                </c:pt>
                <c:pt idx="11">
                  <c:v>1730</c:v>
                </c:pt>
                <c:pt idx="12">
                  <c:v>1740</c:v>
                </c:pt>
                <c:pt idx="13">
                  <c:v>1850</c:v>
                </c:pt>
                <c:pt idx="14">
                  <c:v>1740</c:v>
                </c:pt>
                <c:pt idx="15">
                  <c:v>1920</c:v>
                </c:pt>
                <c:pt idx="16">
                  <c:v>1930</c:v>
                </c:pt>
                <c:pt idx="17">
                  <c:v>1970</c:v>
                </c:pt>
                <c:pt idx="18">
                  <c:v>1910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7-4F60-8CE8-7136664BF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42992"/>
        <c:axId val="24841552"/>
      </c:barChart>
      <c:catAx>
        <c:axId val="24842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4841552"/>
        <c:crosses val="autoZero"/>
        <c:auto val="1"/>
        <c:lblAlgn val="ctr"/>
        <c:lblOffset val="100"/>
        <c:noMultiLvlLbl val="0"/>
      </c:catAx>
      <c:valAx>
        <c:axId val="248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484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D77945A-7BFF-4138-9D87-47B77D59C31B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C73033-2106-3E13-2DB8-AD279137A8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DCF7-004D-445F-8698-4CC33640C1E0}">
  <dimension ref="A1:AM98"/>
  <sheetViews>
    <sheetView tabSelected="1" topLeftCell="A41" zoomScale="74" zoomScaleNormal="104" workbookViewId="0">
      <selection activeCell="M71" sqref="M71"/>
    </sheetView>
  </sheetViews>
  <sheetFormatPr defaultRowHeight="14.4" x14ac:dyDescent="0.3"/>
  <cols>
    <col min="1" max="1" width="9.88671875" customWidth="1"/>
    <col min="2" max="17" width="7.109375" customWidth="1"/>
    <col min="18" max="18" width="8.88671875" customWidth="1"/>
    <col min="19" max="21" width="7.109375" customWidth="1"/>
    <col min="24" max="24" width="10.88671875" bestFit="1" customWidth="1"/>
  </cols>
  <sheetData>
    <row r="1" spans="2:39" ht="14.4" customHeight="1" thickBot="1" x14ac:dyDescent="0.6">
      <c r="B1" s="53"/>
      <c r="C1" s="53"/>
      <c r="H1" s="1"/>
      <c r="I1" s="1"/>
      <c r="K1" s="1"/>
      <c r="L1" s="1"/>
      <c r="M1" s="1"/>
      <c r="N1" s="1"/>
      <c r="O1" s="2"/>
      <c r="P1" s="2"/>
      <c r="Q1" s="2"/>
      <c r="AG1" s="58"/>
      <c r="AH1" s="58"/>
      <c r="AI1" s="58"/>
    </row>
    <row r="2" spans="2:39" ht="14.4" customHeight="1" x14ac:dyDescent="0.55000000000000004">
      <c r="B2" s="54"/>
      <c r="C2" s="55"/>
      <c r="D2" s="28"/>
      <c r="E2" s="28"/>
      <c r="F2" s="28"/>
      <c r="G2" s="28"/>
      <c r="H2" s="29"/>
      <c r="I2" s="29"/>
      <c r="J2" s="61" t="s">
        <v>0</v>
      </c>
      <c r="K2" s="61"/>
      <c r="L2" s="61"/>
      <c r="M2" s="61"/>
      <c r="N2" s="61"/>
      <c r="O2" s="61"/>
      <c r="P2" s="61"/>
      <c r="Q2" s="28"/>
      <c r="R2" s="28"/>
      <c r="S2" s="28"/>
      <c r="T2" s="28"/>
      <c r="U2" s="30"/>
      <c r="V2" s="28"/>
      <c r="W2" s="28"/>
      <c r="X2" s="28"/>
      <c r="Y2" s="28"/>
      <c r="Z2" s="28"/>
      <c r="AA2" s="28"/>
      <c r="AB2" s="28"/>
      <c r="AC2" s="31"/>
      <c r="AI2" s="7"/>
    </row>
    <row r="3" spans="2:39" ht="14.4" customHeight="1" x14ac:dyDescent="0.3">
      <c r="B3" s="48" t="s">
        <v>5</v>
      </c>
      <c r="C3" s="49"/>
      <c r="D3" s="17"/>
      <c r="E3" s="17"/>
      <c r="F3" s="17"/>
      <c r="G3" s="4"/>
      <c r="H3" s="4"/>
      <c r="I3" s="17"/>
      <c r="J3" s="62"/>
      <c r="K3" s="62"/>
      <c r="L3" s="62"/>
      <c r="M3" s="62"/>
      <c r="N3" s="62"/>
      <c r="O3" s="62"/>
      <c r="P3" s="62"/>
      <c r="Q3" s="17"/>
      <c r="R3" s="4"/>
      <c r="S3" s="4"/>
      <c r="T3" s="4"/>
      <c r="U3" s="17"/>
      <c r="V3" s="17"/>
      <c r="W3" s="17"/>
      <c r="X3" s="17"/>
      <c r="Y3" s="17"/>
      <c r="Z3" s="17"/>
      <c r="AA3" s="17"/>
      <c r="AB3" s="17"/>
      <c r="AC3" s="32"/>
      <c r="AD3" s="6"/>
      <c r="AE3" s="6"/>
      <c r="AI3" s="7"/>
    </row>
    <row r="4" spans="2:39" x14ac:dyDescent="0.3">
      <c r="B4" s="48">
        <f>SUM(E4:AA4)</f>
        <v>24390</v>
      </c>
      <c r="C4" s="49"/>
      <c r="D4" s="17"/>
      <c r="E4" s="17">
        <v>860</v>
      </c>
      <c r="F4" s="17">
        <v>480</v>
      </c>
      <c r="G4" s="17">
        <v>490</v>
      </c>
      <c r="H4" s="17">
        <v>1090</v>
      </c>
      <c r="I4" s="17">
        <v>1260</v>
      </c>
      <c r="J4" s="4"/>
      <c r="K4" s="17">
        <v>1250</v>
      </c>
      <c r="L4" s="17">
        <v>1290</v>
      </c>
      <c r="M4" s="17">
        <v>1280</v>
      </c>
      <c r="N4" s="17">
        <v>1280</v>
      </c>
      <c r="O4" s="17">
        <v>1350</v>
      </c>
      <c r="P4" s="17">
        <v>1240</v>
      </c>
      <c r="Q4" s="17">
        <v>1220</v>
      </c>
      <c r="R4" s="17">
        <v>1160</v>
      </c>
      <c r="S4" s="17">
        <v>1180</v>
      </c>
      <c r="T4" s="17">
        <v>1240</v>
      </c>
      <c r="U4" s="17"/>
      <c r="V4" s="17">
        <v>1260</v>
      </c>
      <c r="W4" s="17">
        <v>1240</v>
      </c>
      <c r="X4" s="17">
        <v>1300</v>
      </c>
      <c r="Y4" s="17">
        <v>1350</v>
      </c>
      <c r="Z4" s="17">
        <v>1340</v>
      </c>
      <c r="AA4" s="17">
        <v>1230</v>
      </c>
      <c r="AB4" s="4"/>
      <c r="AC4" s="23"/>
      <c r="AD4" s="6"/>
      <c r="AE4" s="6"/>
      <c r="AI4" s="7"/>
    </row>
    <row r="5" spans="2:39" x14ac:dyDescent="0.3">
      <c r="B5" s="48"/>
      <c r="C5" s="49"/>
      <c r="D5" s="17"/>
      <c r="E5" s="17"/>
      <c r="F5" s="4"/>
      <c r="G5" s="4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 t="s">
        <v>17</v>
      </c>
      <c r="T5" s="17"/>
      <c r="U5" s="17"/>
      <c r="V5" s="17"/>
      <c r="W5" s="17"/>
      <c r="X5" s="17"/>
      <c r="Y5" s="17"/>
      <c r="Z5" s="17"/>
      <c r="AA5" s="17"/>
      <c r="AB5" s="17"/>
      <c r="AC5" s="32"/>
      <c r="AD5" s="6"/>
      <c r="AE5" s="6"/>
      <c r="AI5" s="7"/>
    </row>
    <row r="6" spans="2:39" x14ac:dyDescent="0.3">
      <c r="B6" s="48">
        <f>SUM(E6:AC6)</f>
        <v>52660</v>
      </c>
      <c r="C6" s="49"/>
      <c r="D6" s="17"/>
      <c r="E6" s="17">
        <v>3410</v>
      </c>
      <c r="F6" s="17">
        <v>3200</v>
      </c>
      <c r="G6" s="17">
        <v>3190</v>
      </c>
      <c r="H6" s="17">
        <v>3080</v>
      </c>
      <c r="I6" s="17">
        <v>3160</v>
      </c>
      <c r="J6" s="17">
        <v>3100</v>
      </c>
      <c r="K6" s="17">
        <v>3180</v>
      </c>
      <c r="L6" s="17">
        <v>3020</v>
      </c>
      <c r="M6" s="17">
        <v>2960</v>
      </c>
      <c r="N6" s="17">
        <v>3010</v>
      </c>
      <c r="O6" s="17">
        <v>2750</v>
      </c>
      <c r="P6" s="17">
        <v>2090</v>
      </c>
      <c r="Q6" s="17">
        <v>2070</v>
      </c>
      <c r="R6" s="17">
        <v>2080</v>
      </c>
      <c r="S6" s="17">
        <v>2180</v>
      </c>
      <c r="T6" s="17">
        <v>2290</v>
      </c>
      <c r="U6" s="17">
        <v>2100</v>
      </c>
      <c r="V6" s="17">
        <v>2070</v>
      </c>
      <c r="W6" s="17">
        <v>2050</v>
      </c>
      <c r="X6" s="17">
        <v>1670</v>
      </c>
      <c r="Y6" s="4"/>
      <c r="Z6" s="17"/>
      <c r="AA6" s="17"/>
      <c r="AB6" s="17"/>
      <c r="AC6" s="32"/>
      <c r="AD6" s="6"/>
      <c r="AE6" s="6"/>
    </row>
    <row r="7" spans="2:39" x14ac:dyDescent="0.3">
      <c r="B7" s="48"/>
      <c r="C7" s="49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32"/>
      <c r="AD7" s="6"/>
      <c r="AE7" s="6"/>
    </row>
    <row r="8" spans="2:39" x14ac:dyDescent="0.3">
      <c r="B8" s="48">
        <f>SUM(E8:AC8)</f>
        <v>38940</v>
      </c>
      <c r="C8" s="49"/>
      <c r="D8" s="17"/>
      <c r="E8" s="17">
        <v>2140</v>
      </c>
      <c r="F8" s="17">
        <v>1780</v>
      </c>
      <c r="G8" s="17">
        <v>2090</v>
      </c>
      <c r="H8" s="17">
        <v>1860</v>
      </c>
      <c r="I8" s="17">
        <v>2030</v>
      </c>
      <c r="J8" s="17">
        <v>2080</v>
      </c>
      <c r="K8" s="17">
        <v>1980</v>
      </c>
      <c r="L8" s="17">
        <v>1990</v>
      </c>
      <c r="M8" s="17">
        <v>1810</v>
      </c>
      <c r="N8" s="17">
        <v>1990</v>
      </c>
      <c r="O8" s="17">
        <v>2100</v>
      </c>
      <c r="P8" s="17">
        <v>2150</v>
      </c>
      <c r="Q8" s="17">
        <v>1910</v>
      </c>
      <c r="R8" s="17">
        <v>2000</v>
      </c>
      <c r="S8" s="17">
        <v>1880</v>
      </c>
      <c r="T8" s="17">
        <v>1830</v>
      </c>
      <c r="U8" s="17">
        <v>1830</v>
      </c>
      <c r="V8" s="17">
        <v>1910</v>
      </c>
      <c r="W8" s="17">
        <v>1870</v>
      </c>
      <c r="X8" s="17">
        <v>1710</v>
      </c>
      <c r="Y8" s="4"/>
      <c r="Z8" s="4"/>
      <c r="AA8" s="17"/>
      <c r="AB8" s="17"/>
      <c r="AC8" s="32"/>
      <c r="AD8" s="6"/>
      <c r="AE8" s="6"/>
    </row>
    <row r="9" spans="2:39" x14ac:dyDescent="0.3">
      <c r="B9" s="48"/>
      <c r="C9" s="49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32"/>
      <c r="AD9" s="6"/>
      <c r="AE9" s="6"/>
    </row>
    <row r="10" spans="2:39" x14ac:dyDescent="0.3">
      <c r="B10" s="48">
        <f>SUM(D10:AC10)</f>
        <v>26230</v>
      </c>
      <c r="C10" s="49"/>
      <c r="D10" s="17"/>
      <c r="E10" s="17">
        <v>990</v>
      </c>
      <c r="F10" s="17">
        <v>1490</v>
      </c>
      <c r="G10" s="17">
        <v>1290</v>
      </c>
      <c r="H10" s="17">
        <v>1380</v>
      </c>
      <c r="I10" s="17">
        <v>1740</v>
      </c>
      <c r="J10" s="17">
        <v>950</v>
      </c>
      <c r="K10" s="17">
        <v>1480</v>
      </c>
      <c r="L10" s="17">
        <v>1620</v>
      </c>
      <c r="M10" s="17">
        <v>1770</v>
      </c>
      <c r="N10" s="17">
        <v>1340</v>
      </c>
      <c r="O10" s="17">
        <v>1460</v>
      </c>
      <c r="P10" s="17">
        <v>1770</v>
      </c>
      <c r="Q10" s="17">
        <v>1700</v>
      </c>
      <c r="R10" s="17">
        <v>1040</v>
      </c>
      <c r="S10" s="17">
        <v>990</v>
      </c>
      <c r="T10" s="17">
        <v>1480</v>
      </c>
      <c r="U10" s="17">
        <v>1450</v>
      </c>
      <c r="V10" s="17">
        <v>1030</v>
      </c>
      <c r="W10" s="17">
        <v>1260</v>
      </c>
      <c r="X10" s="4"/>
      <c r="Y10" s="4"/>
      <c r="Z10" s="4"/>
      <c r="AA10" s="4"/>
      <c r="AB10" s="17"/>
      <c r="AC10" s="32"/>
      <c r="AD10" s="6"/>
      <c r="AE10" s="6"/>
    </row>
    <row r="11" spans="2:39" x14ac:dyDescent="0.3">
      <c r="B11" s="48"/>
      <c r="C11" s="4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32"/>
      <c r="AD11" s="6"/>
      <c r="AE11" s="6"/>
    </row>
    <row r="12" spans="2:39" x14ac:dyDescent="0.3">
      <c r="B12" s="48">
        <f>SUM(G12:AA12)</f>
        <v>21480</v>
      </c>
      <c r="C12" s="49"/>
      <c r="D12" s="4"/>
      <c r="E12" s="17">
        <v>1010</v>
      </c>
      <c r="F12" s="17">
        <v>990</v>
      </c>
      <c r="G12" s="17">
        <v>1010</v>
      </c>
      <c r="H12" s="17">
        <v>1060</v>
      </c>
      <c r="I12" s="17">
        <v>1000</v>
      </c>
      <c r="J12" s="17">
        <v>1130</v>
      </c>
      <c r="K12" s="17">
        <v>1020</v>
      </c>
      <c r="L12" s="17">
        <v>990</v>
      </c>
      <c r="M12" s="17">
        <v>1100</v>
      </c>
      <c r="N12" s="17">
        <v>1080</v>
      </c>
      <c r="O12" s="17">
        <v>1030</v>
      </c>
      <c r="P12" s="17">
        <v>1170</v>
      </c>
      <c r="Q12" s="17">
        <v>990</v>
      </c>
      <c r="R12" s="17"/>
      <c r="S12" s="17"/>
      <c r="T12" s="17">
        <v>1140</v>
      </c>
      <c r="U12" s="17">
        <v>1250</v>
      </c>
      <c r="V12" s="17">
        <v>1280</v>
      </c>
      <c r="W12" s="17">
        <v>1310</v>
      </c>
      <c r="X12" s="17">
        <v>1210</v>
      </c>
      <c r="Y12" s="17">
        <v>1250</v>
      </c>
      <c r="Z12" s="17">
        <v>1280</v>
      </c>
      <c r="AA12" s="17">
        <v>1180</v>
      </c>
      <c r="AB12" s="4"/>
      <c r="AC12" s="23"/>
      <c r="AE12" s="6"/>
    </row>
    <row r="13" spans="2:39" x14ac:dyDescent="0.3">
      <c r="B13" s="48"/>
      <c r="C13" s="49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32"/>
      <c r="AD13" s="6"/>
      <c r="AE13" s="6"/>
      <c r="AM13" t="s">
        <v>24</v>
      </c>
    </row>
    <row r="14" spans="2:39" x14ac:dyDescent="0.3">
      <c r="B14" s="48">
        <f>SUM(E14:AC14)</f>
        <v>23920</v>
      </c>
      <c r="C14" s="49"/>
      <c r="D14" s="4"/>
      <c r="E14" s="17">
        <v>1150</v>
      </c>
      <c r="F14" s="17">
        <v>840</v>
      </c>
      <c r="G14" s="17">
        <v>890</v>
      </c>
      <c r="H14" s="17">
        <v>1020</v>
      </c>
      <c r="I14" s="17">
        <v>1100</v>
      </c>
      <c r="J14" s="17">
        <v>1100</v>
      </c>
      <c r="K14" s="17">
        <v>1110</v>
      </c>
      <c r="L14" s="17">
        <v>1140</v>
      </c>
      <c r="M14" s="17">
        <v>1020</v>
      </c>
      <c r="N14" s="17">
        <v>1250</v>
      </c>
      <c r="O14" s="17">
        <v>1060</v>
      </c>
      <c r="P14" s="17">
        <v>1200</v>
      </c>
      <c r="Q14" s="17">
        <v>1220</v>
      </c>
      <c r="R14" s="17">
        <v>1270</v>
      </c>
      <c r="S14" s="17">
        <v>1310</v>
      </c>
      <c r="T14" s="17">
        <v>1230</v>
      </c>
      <c r="U14" s="17">
        <v>1180</v>
      </c>
      <c r="V14" s="17">
        <v>1290</v>
      </c>
      <c r="W14" s="17">
        <v>1210</v>
      </c>
      <c r="X14" s="17">
        <v>1230</v>
      </c>
      <c r="Y14" s="17">
        <v>1100</v>
      </c>
      <c r="Z14" s="17"/>
      <c r="AA14" s="17"/>
      <c r="AB14" s="17"/>
      <c r="AC14" s="32"/>
      <c r="AD14" s="6"/>
      <c r="AE14" s="6"/>
    </row>
    <row r="15" spans="2:39" x14ac:dyDescent="0.3">
      <c r="B15" s="48"/>
      <c r="C15" s="49"/>
      <c r="D15" s="17"/>
      <c r="E15" s="17"/>
      <c r="F15" s="17"/>
      <c r="G15" s="17"/>
      <c r="H15" s="17"/>
      <c r="I15" s="17"/>
      <c r="J15" s="17"/>
      <c r="K15" s="17"/>
      <c r="L15" s="17"/>
      <c r="M15" s="17" t="s">
        <v>16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32"/>
      <c r="AD15" s="6"/>
      <c r="AE15" s="6"/>
    </row>
    <row r="16" spans="2:39" x14ac:dyDescent="0.3">
      <c r="B16" s="48">
        <f>SUM(E16:X16)</f>
        <v>20530</v>
      </c>
      <c r="C16" s="49"/>
      <c r="D16" s="4"/>
      <c r="E16" s="17">
        <v>1090</v>
      </c>
      <c r="F16" s="17">
        <v>930</v>
      </c>
      <c r="G16" s="17">
        <v>1160</v>
      </c>
      <c r="H16" s="17">
        <v>1180</v>
      </c>
      <c r="I16" s="17">
        <v>1190</v>
      </c>
      <c r="J16" s="17">
        <v>1140</v>
      </c>
      <c r="K16" s="17">
        <v>1130</v>
      </c>
      <c r="L16" s="17">
        <v>1120</v>
      </c>
      <c r="M16" s="17">
        <v>1100</v>
      </c>
      <c r="N16" s="17">
        <v>1100</v>
      </c>
      <c r="O16" s="17">
        <v>1090</v>
      </c>
      <c r="P16" s="17">
        <v>1030</v>
      </c>
      <c r="Q16" s="17">
        <v>1020</v>
      </c>
      <c r="R16" s="17">
        <v>1020</v>
      </c>
      <c r="S16" s="17">
        <v>1010</v>
      </c>
      <c r="T16" s="17">
        <v>990</v>
      </c>
      <c r="U16" s="17">
        <v>830</v>
      </c>
      <c r="V16" s="17">
        <v>900</v>
      </c>
      <c r="W16" s="17">
        <v>760</v>
      </c>
      <c r="X16" s="17">
        <v>740</v>
      </c>
      <c r="Y16" s="17">
        <v>1140</v>
      </c>
      <c r="Z16" s="17">
        <v>800</v>
      </c>
      <c r="AA16" s="4"/>
      <c r="AB16" s="4"/>
      <c r="AC16" s="32"/>
      <c r="AD16" s="6"/>
      <c r="AE16" s="6"/>
    </row>
    <row r="17" spans="2:31" x14ac:dyDescent="0.3">
      <c r="B17" s="48"/>
      <c r="C17" s="49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32"/>
      <c r="AD17" s="6"/>
      <c r="AE17" s="6"/>
    </row>
    <row r="18" spans="2:31" x14ac:dyDescent="0.3">
      <c r="B18" s="48">
        <f>SUM(F18:R18)</f>
        <v>11820</v>
      </c>
      <c r="C18" s="49"/>
      <c r="D18" s="4"/>
      <c r="E18" s="17">
        <v>550</v>
      </c>
      <c r="F18" s="17">
        <v>1180</v>
      </c>
      <c r="G18" s="17">
        <v>900</v>
      </c>
      <c r="H18" s="17">
        <v>1140</v>
      </c>
      <c r="I18" s="17">
        <v>1060</v>
      </c>
      <c r="J18" s="17">
        <v>1050</v>
      </c>
      <c r="K18" s="17">
        <v>1000</v>
      </c>
      <c r="L18" s="17">
        <v>860</v>
      </c>
      <c r="M18" s="17">
        <v>730</v>
      </c>
      <c r="N18" s="17">
        <v>680</v>
      </c>
      <c r="O18" s="17">
        <v>780</v>
      </c>
      <c r="P18" s="17">
        <v>780</v>
      </c>
      <c r="Q18" s="17">
        <v>820</v>
      </c>
      <c r="R18" s="17">
        <v>840</v>
      </c>
      <c r="S18" s="17">
        <v>910</v>
      </c>
      <c r="T18" s="17">
        <v>920</v>
      </c>
      <c r="U18" s="17">
        <v>970</v>
      </c>
      <c r="V18" s="17">
        <v>990</v>
      </c>
      <c r="W18" s="17">
        <v>1040</v>
      </c>
      <c r="X18" s="17">
        <v>1010</v>
      </c>
      <c r="Y18" s="17">
        <v>1100</v>
      </c>
      <c r="Z18" s="17">
        <v>1120</v>
      </c>
      <c r="AA18" s="17">
        <v>1100</v>
      </c>
      <c r="AB18" s="17">
        <v>990</v>
      </c>
      <c r="AC18" s="32"/>
      <c r="AE18" s="6"/>
    </row>
    <row r="19" spans="2:31" ht="15" thickBot="1" x14ac:dyDescent="0.35">
      <c r="B19" s="33"/>
      <c r="C19" s="3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12"/>
      <c r="Y19" s="12"/>
      <c r="Z19" s="12"/>
      <c r="AA19" s="12"/>
      <c r="AB19" s="12"/>
      <c r="AC19" s="40"/>
      <c r="AE19" s="6"/>
    </row>
    <row r="20" spans="2:31" ht="15" thickBot="1" x14ac:dyDescent="0.35">
      <c r="AE20" s="6"/>
    </row>
    <row r="21" spans="2:31" ht="14.4" customHeight="1" x14ac:dyDescent="0.3">
      <c r="B21" s="41"/>
      <c r="C21" s="42"/>
      <c r="D21" s="28"/>
      <c r="E21" s="28"/>
      <c r="F21" s="28"/>
      <c r="G21" s="28"/>
      <c r="H21" s="28"/>
      <c r="I21" s="28"/>
      <c r="J21" s="61" t="s">
        <v>1</v>
      </c>
      <c r="K21" s="61"/>
      <c r="L21" s="61"/>
      <c r="M21" s="61"/>
      <c r="N21" s="61"/>
      <c r="O21" s="61"/>
      <c r="P21" s="61"/>
      <c r="Q21" s="61"/>
      <c r="R21" s="35"/>
      <c r="S21" s="28"/>
      <c r="T21" s="28"/>
      <c r="U21" s="28"/>
      <c r="V21" s="28"/>
      <c r="W21" s="28"/>
      <c r="X21" s="28" t="s">
        <v>17</v>
      </c>
      <c r="Y21" s="28"/>
      <c r="Z21" s="28"/>
      <c r="AA21" s="28"/>
      <c r="AB21" s="28"/>
      <c r="AC21" s="31"/>
    </row>
    <row r="22" spans="2:31" ht="14.4" customHeight="1" x14ac:dyDescent="0.3">
      <c r="B22" s="48" t="s">
        <v>5</v>
      </c>
      <c r="C22" s="49"/>
      <c r="D22" s="17"/>
      <c r="E22" s="17"/>
      <c r="F22" s="17"/>
      <c r="G22" s="17"/>
      <c r="H22" s="17"/>
      <c r="I22" s="17"/>
      <c r="J22" s="62"/>
      <c r="K22" s="62"/>
      <c r="L22" s="62"/>
      <c r="M22" s="62"/>
      <c r="N22" s="62"/>
      <c r="O22" s="62"/>
      <c r="P22" s="62"/>
      <c r="Q22" s="62"/>
      <c r="R22" s="17"/>
      <c r="S22" s="17"/>
      <c r="T22" s="17"/>
      <c r="U22" s="17"/>
      <c r="V22" s="17"/>
      <c r="W22" s="17"/>
      <c r="X22" s="4"/>
      <c r="Y22" s="4"/>
      <c r="Z22" s="4"/>
      <c r="AA22" s="4"/>
      <c r="AB22" s="4"/>
      <c r="AC22" s="23"/>
    </row>
    <row r="23" spans="2:31" ht="14.4" customHeight="1" x14ac:dyDescent="0.3">
      <c r="B23" s="48">
        <f>SUM(E23:AC23)</f>
        <v>34710</v>
      </c>
      <c r="C23" s="49"/>
      <c r="D23" s="17"/>
      <c r="E23" s="17">
        <v>1160</v>
      </c>
      <c r="F23" s="17">
        <v>1290</v>
      </c>
      <c r="G23" s="17">
        <v>1280</v>
      </c>
      <c r="H23" s="17">
        <v>1230</v>
      </c>
      <c r="I23" s="17">
        <v>1350</v>
      </c>
      <c r="J23" s="17">
        <v>1090</v>
      </c>
      <c r="K23" s="17">
        <v>980</v>
      </c>
      <c r="L23" s="17">
        <v>1550</v>
      </c>
      <c r="M23" s="17">
        <v>1580</v>
      </c>
      <c r="N23" s="17">
        <v>1600</v>
      </c>
      <c r="O23" s="17">
        <v>1640</v>
      </c>
      <c r="P23" s="17">
        <v>1810</v>
      </c>
      <c r="Q23" s="17">
        <v>1060</v>
      </c>
      <c r="R23" s="17">
        <v>890</v>
      </c>
      <c r="S23" s="17">
        <v>1710</v>
      </c>
      <c r="T23" s="17">
        <v>1750</v>
      </c>
      <c r="U23" s="17">
        <v>1610</v>
      </c>
      <c r="V23" s="17">
        <v>2720</v>
      </c>
      <c r="W23" s="17">
        <v>2610</v>
      </c>
      <c r="X23" s="17">
        <v>2850</v>
      </c>
      <c r="Y23" s="17">
        <v>2950</v>
      </c>
      <c r="Z23" s="17"/>
      <c r="AA23" s="17"/>
      <c r="AB23" s="17"/>
      <c r="AC23" s="32"/>
    </row>
    <row r="24" spans="2:31" x14ac:dyDescent="0.3">
      <c r="B24" s="22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23"/>
    </row>
    <row r="25" spans="2:31" x14ac:dyDescent="0.3">
      <c r="B25" s="48"/>
      <c r="C25" s="49"/>
      <c r="D25" s="17"/>
      <c r="E25" s="17">
        <v>2270</v>
      </c>
      <c r="F25" s="17">
        <v>4080</v>
      </c>
      <c r="G25" s="17">
        <v>3330</v>
      </c>
      <c r="H25" s="17">
        <v>2690</v>
      </c>
      <c r="I25" s="17">
        <v>2870</v>
      </c>
      <c r="J25" s="17">
        <v>2780</v>
      </c>
      <c r="K25" s="17">
        <v>3070</v>
      </c>
      <c r="L25" s="17">
        <v>2740</v>
      </c>
      <c r="M25" s="17">
        <v>2920</v>
      </c>
      <c r="N25" s="17">
        <v>2870</v>
      </c>
      <c r="O25" s="17">
        <v>3310</v>
      </c>
      <c r="P25" s="17">
        <v>2900</v>
      </c>
      <c r="Q25" s="17">
        <v>3030</v>
      </c>
      <c r="R25" s="17">
        <v>3550</v>
      </c>
      <c r="S25" s="17">
        <v>3100</v>
      </c>
      <c r="T25" s="17">
        <v>3000</v>
      </c>
      <c r="U25" s="17">
        <v>2400</v>
      </c>
      <c r="V25" s="17">
        <v>2390</v>
      </c>
      <c r="W25" s="17">
        <v>3190</v>
      </c>
      <c r="X25" s="17">
        <v>3070</v>
      </c>
      <c r="Y25" s="17">
        <v>3470</v>
      </c>
      <c r="Z25" s="17"/>
      <c r="AA25" s="17"/>
      <c r="AB25" s="17"/>
      <c r="AC25" s="32"/>
    </row>
    <row r="26" spans="2:31" x14ac:dyDescent="0.3">
      <c r="B26" s="48">
        <f>SUM(E26:AC26)</f>
        <v>0</v>
      </c>
      <c r="C26" s="49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 t="s">
        <v>16</v>
      </c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32"/>
    </row>
    <row r="27" spans="2:31" x14ac:dyDescent="0.3">
      <c r="B27" s="48"/>
      <c r="C27" s="49"/>
      <c r="D27" s="17"/>
      <c r="E27" s="17">
        <v>2550</v>
      </c>
      <c r="F27" s="17">
        <v>2380</v>
      </c>
      <c r="G27" s="17">
        <v>2360</v>
      </c>
      <c r="H27" s="17">
        <v>2330</v>
      </c>
      <c r="I27" s="17">
        <v>2420</v>
      </c>
      <c r="J27" s="17">
        <v>2600</v>
      </c>
      <c r="K27" s="17">
        <v>2460</v>
      </c>
      <c r="L27" s="17">
        <v>2820</v>
      </c>
      <c r="M27" s="17">
        <v>2450</v>
      </c>
      <c r="N27" s="17">
        <v>2410</v>
      </c>
      <c r="O27" s="17">
        <v>2300</v>
      </c>
      <c r="P27" s="17">
        <v>2430</v>
      </c>
      <c r="Q27" s="17">
        <v>2200</v>
      </c>
      <c r="R27" s="17">
        <v>2240</v>
      </c>
      <c r="S27" s="17">
        <v>2420</v>
      </c>
      <c r="T27" s="17">
        <v>2300</v>
      </c>
      <c r="U27" s="17">
        <v>2480</v>
      </c>
      <c r="V27" s="17">
        <v>2520</v>
      </c>
      <c r="W27" s="17">
        <v>2480</v>
      </c>
      <c r="X27" s="17">
        <v>2520</v>
      </c>
      <c r="Y27" s="17">
        <v>2360</v>
      </c>
      <c r="Z27" s="17"/>
      <c r="AA27" s="17"/>
      <c r="AB27" s="17"/>
      <c r="AC27" s="32"/>
    </row>
    <row r="28" spans="2:31" x14ac:dyDescent="0.3">
      <c r="B28" s="48">
        <f>SUM(E28:AC28)</f>
        <v>0</v>
      </c>
      <c r="C28" s="49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32"/>
    </row>
    <row r="29" spans="2:31" x14ac:dyDescent="0.3">
      <c r="B29" s="48"/>
      <c r="C29" s="49"/>
      <c r="D29" s="17"/>
      <c r="E29" s="17">
        <v>2000</v>
      </c>
      <c r="F29" s="17">
        <v>2280</v>
      </c>
      <c r="G29" s="17">
        <v>2020</v>
      </c>
      <c r="H29" s="17">
        <v>2080</v>
      </c>
      <c r="I29" s="17">
        <v>2220</v>
      </c>
      <c r="J29" s="17">
        <v>2430</v>
      </c>
      <c r="K29" s="17">
        <v>2440</v>
      </c>
      <c r="L29" s="17">
        <v>2370</v>
      </c>
      <c r="M29" s="17">
        <v>2390</v>
      </c>
      <c r="N29" s="17"/>
      <c r="O29" s="17">
        <v>2220</v>
      </c>
      <c r="P29" s="17">
        <v>2270</v>
      </c>
      <c r="Q29" s="17">
        <v>2170</v>
      </c>
      <c r="R29" s="17">
        <v>2150</v>
      </c>
      <c r="S29" s="17">
        <v>2400</v>
      </c>
      <c r="T29" s="17">
        <v>2240</v>
      </c>
      <c r="U29" s="17">
        <v>2120</v>
      </c>
      <c r="V29" s="17">
        <v>2330</v>
      </c>
      <c r="W29" s="17">
        <v>2370</v>
      </c>
      <c r="X29" s="17">
        <v>2120</v>
      </c>
      <c r="Y29" s="17"/>
      <c r="Z29" s="17"/>
      <c r="AA29" s="17"/>
      <c r="AB29" s="17"/>
      <c r="AC29" s="32"/>
    </row>
    <row r="30" spans="2:31" x14ac:dyDescent="0.3">
      <c r="B30" s="48">
        <f>SUM(E30:AC30)</f>
        <v>0</v>
      </c>
      <c r="C30" s="49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32"/>
    </row>
    <row r="31" spans="2:31" x14ac:dyDescent="0.3">
      <c r="B31" s="48"/>
      <c r="C31" s="49"/>
      <c r="D31" s="17"/>
      <c r="E31" s="17">
        <v>2100</v>
      </c>
      <c r="F31" s="17">
        <v>1990</v>
      </c>
      <c r="G31" s="17">
        <v>2070</v>
      </c>
      <c r="H31" s="17">
        <v>2090</v>
      </c>
      <c r="I31" s="17">
        <v>2050</v>
      </c>
      <c r="J31" s="17">
        <v>2200</v>
      </c>
      <c r="K31" s="17"/>
      <c r="L31" s="17">
        <v>2140</v>
      </c>
      <c r="M31" s="17">
        <v>2130</v>
      </c>
      <c r="N31" s="17">
        <v>2220</v>
      </c>
      <c r="O31" s="17">
        <v>2170</v>
      </c>
      <c r="P31" s="17">
        <v>2130</v>
      </c>
      <c r="Q31" s="17">
        <v>2050</v>
      </c>
      <c r="R31" s="17">
        <v>2010</v>
      </c>
      <c r="S31" s="17">
        <v>2050</v>
      </c>
      <c r="T31" s="17">
        <v>1970</v>
      </c>
      <c r="U31" s="17">
        <v>2130</v>
      </c>
      <c r="V31" s="17">
        <v>1950</v>
      </c>
      <c r="W31" s="17">
        <v>1980</v>
      </c>
      <c r="X31" s="17">
        <v>2010</v>
      </c>
      <c r="Y31" s="17">
        <v>1850</v>
      </c>
      <c r="Z31" s="17">
        <v>2130</v>
      </c>
      <c r="AA31" s="17"/>
      <c r="AB31" s="17"/>
      <c r="AC31" s="32"/>
    </row>
    <row r="32" spans="2:31" x14ac:dyDescent="0.3">
      <c r="B32" s="48">
        <f>SUM(E32:AC32)</f>
        <v>0</v>
      </c>
      <c r="C32" s="49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32"/>
    </row>
    <row r="33" spans="2:29" x14ac:dyDescent="0.3">
      <c r="B33" s="48"/>
      <c r="C33" s="49"/>
      <c r="D33" s="17"/>
      <c r="E33" s="17">
        <v>1810</v>
      </c>
      <c r="F33" s="17">
        <v>1810</v>
      </c>
      <c r="G33" s="17">
        <v>1820</v>
      </c>
      <c r="H33" s="17">
        <v>1790</v>
      </c>
      <c r="I33" s="17">
        <v>1760</v>
      </c>
      <c r="J33" s="17">
        <v>1790</v>
      </c>
      <c r="K33" s="17">
        <v>1810</v>
      </c>
      <c r="L33" s="17">
        <v>1890</v>
      </c>
      <c r="M33" s="17">
        <v>1890</v>
      </c>
      <c r="N33" s="17">
        <v>1780</v>
      </c>
      <c r="O33" s="17">
        <v>1950</v>
      </c>
      <c r="P33" s="17">
        <v>1730</v>
      </c>
      <c r="Q33" s="17">
        <v>1740</v>
      </c>
      <c r="R33" s="17">
        <v>1850</v>
      </c>
      <c r="S33" s="17">
        <v>1740</v>
      </c>
      <c r="T33" s="17">
        <v>1920</v>
      </c>
      <c r="U33" s="17">
        <v>1930</v>
      </c>
      <c r="V33" s="17">
        <v>1970</v>
      </c>
      <c r="W33" s="17">
        <v>1820</v>
      </c>
      <c r="X33" s="17">
        <v>1790</v>
      </c>
      <c r="Y33" s="17"/>
      <c r="Z33" s="17"/>
      <c r="AA33" s="17"/>
      <c r="AB33" s="17"/>
      <c r="AC33" s="32"/>
    </row>
    <row r="34" spans="2:29" x14ac:dyDescent="0.3">
      <c r="B34" s="48">
        <f>SUM(E34:AC34)</f>
        <v>0</v>
      </c>
      <c r="C34" s="49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32"/>
    </row>
    <row r="35" spans="2:29" x14ac:dyDescent="0.3">
      <c r="B35" s="48"/>
      <c r="C35" s="49"/>
      <c r="D35" s="17"/>
      <c r="E35" s="17">
        <v>1740</v>
      </c>
      <c r="F35" s="17">
        <v>1570</v>
      </c>
      <c r="G35" s="17">
        <v>1490</v>
      </c>
      <c r="H35" s="17">
        <v>1540</v>
      </c>
      <c r="I35" s="17">
        <v>1470</v>
      </c>
      <c r="J35" s="17">
        <v>1760</v>
      </c>
      <c r="K35" s="17">
        <v>1570</v>
      </c>
      <c r="L35" s="17">
        <v>1750</v>
      </c>
      <c r="M35" s="17">
        <v>1780</v>
      </c>
      <c r="N35" s="17">
        <v>1600</v>
      </c>
      <c r="O35" s="17">
        <v>1750</v>
      </c>
      <c r="P35" s="17">
        <v>1750</v>
      </c>
      <c r="Q35" s="17">
        <v>1700</v>
      </c>
      <c r="R35" s="17">
        <v>1770</v>
      </c>
      <c r="S35" s="17">
        <v>1760</v>
      </c>
      <c r="T35" s="17">
        <v>1700</v>
      </c>
      <c r="U35" s="17">
        <v>1680</v>
      </c>
      <c r="V35" s="17">
        <v>1730</v>
      </c>
      <c r="W35" s="17">
        <v>1700</v>
      </c>
      <c r="X35" s="17">
        <v>1610</v>
      </c>
      <c r="Y35" s="17">
        <v>1770</v>
      </c>
      <c r="Z35" s="17"/>
      <c r="AA35" s="17"/>
      <c r="AB35" s="17"/>
      <c r="AC35" s="32"/>
    </row>
    <row r="36" spans="2:29" x14ac:dyDescent="0.3">
      <c r="B36" s="48">
        <f>SUM(D36:AC36)</f>
        <v>0</v>
      </c>
      <c r="C36" s="49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32"/>
    </row>
    <row r="37" spans="2:29" ht="15" thickBot="1" x14ac:dyDescent="0.35">
      <c r="B37" s="56"/>
      <c r="C37" s="57"/>
      <c r="D37" s="34"/>
      <c r="E37" s="12">
        <v>1880</v>
      </c>
      <c r="F37" s="12">
        <v>1590</v>
      </c>
      <c r="G37" s="12">
        <v>1530</v>
      </c>
      <c r="H37" s="12">
        <v>1470</v>
      </c>
      <c r="I37" s="12">
        <v>1580</v>
      </c>
      <c r="J37" s="12">
        <v>1580</v>
      </c>
      <c r="K37" s="12">
        <v>1570</v>
      </c>
      <c r="L37" s="12">
        <v>1440</v>
      </c>
      <c r="M37" s="12">
        <v>1500</v>
      </c>
      <c r="N37" s="12">
        <v>1510</v>
      </c>
      <c r="O37" s="12">
        <v>1500</v>
      </c>
      <c r="P37" s="12">
        <v>1580</v>
      </c>
      <c r="Q37" s="12">
        <v>1490</v>
      </c>
      <c r="R37" s="12">
        <v>1500</v>
      </c>
      <c r="S37" s="12">
        <v>1560</v>
      </c>
      <c r="T37" s="12">
        <v>1410</v>
      </c>
      <c r="U37" s="12">
        <v>1550</v>
      </c>
      <c r="V37" s="12">
        <v>1440</v>
      </c>
      <c r="W37" s="12">
        <v>1460</v>
      </c>
      <c r="X37" s="12">
        <v>1480</v>
      </c>
      <c r="Y37" s="12">
        <v>1410</v>
      </c>
      <c r="Z37" s="34"/>
      <c r="AA37" s="12"/>
      <c r="AB37" s="12"/>
      <c r="AC37" s="40"/>
    </row>
    <row r="38" spans="2:29" ht="15" thickBot="1" x14ac:dyDescent="0.35">
      <c r="B38" s="50"/>
      <c r="C38" s="50"/>
    </row>
    <row r="39" spans="2:29" ht="14.4" customHeight="1" x14ac:dyDescent="0.3">
      <c r="B39" s="41"/>
      <c r="C39" s="42"/>
      <c r="D39" s="28"/>
      <c r="E39" s="28"/>
      <c r="F39" s="28"/>
      <c r="G39" s="28"/>
      <c r="H39" s="28"/>
      <c r="I39" s="28"/>
      <c r="J39" s="61" t="s">
        <v>2</v>
      </c>
      <c r="K39" s="61"/>
      <c r="L39" s="61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31"/>
    </row>
    <row r="40" spans="2:29" ht="14.4" customHeight="1" x14ac:dyDescent="0.3">
      <c r="B40" s="43" t="s">
        <v>5</v>
      </c>
      <c r="C40" s="44"/>
      <c r="D40" s="17"/>
      <c r="E40" s="4"/>
      <c r="F40" s="17"/>
      <c r="G40" s="17"/>
      <c r="H40" s="17"/>
      <c r="I40" s="4"/>
      <c r="J40" s="62"/>
      <c r="K40" s="62"/>
      <c r="L40" s="62"/>
      <c r="M40" s="62"/>
      <c r="N40" s="62"/>
      <c r="O40" s="62"/>
      <c r="P40" s="62"/>
      <c r="Q40" s="62"/>
      <c r="R40" s="17"/>
      <c r="S40" s="17"/>
      <c r="T40" s="17"/>
      <c r="U40" s="17"/>
      <c r="V40" s="17"/>
      <c r="W40" s="17"/>
      <c r="X40" s="17"/>
      <c r="Y40" s="17"/>
      <c r="Z40" s="17"/>
      <c r="AA40" s="4"/>
      <c r="AB40" s="4"/>
      <c r="AC40" s="23"/>
    </row>
    <row r="41" spans="2:29" ht="14.4" customHeight="1" x14ac:dyDescent="0.3">
      <c r="B41" s="48">
        <f>SUM(E41:AC41)</f>
        <v>30770</v>
      </c>
      <c r="C41" s="49"/>
      <c r="E41" s="4">
        <v>1020</v>
      </c>
      <c r="F41" s="17">
        <v>950</v>
      </c>
      <c r="G41" s="4">
        <v>680</v>
      </c>
      <c r="H41" s="4"/>
      <c r="I41" s="4">
        <v>860</v>
      </c>
      <c r="J41" s="4">
        <v>860</v>
      </c>
      <c r="K41" s="4">
        <v>950</v>
      </c>
      <c r="L41" s="4">
        <v>1000</v>
      </c>
      <c r="M41" s="4">
        <v>1070</v>
      </c>
      <c r="N41" s="4">
        <v>1110</v>
      </c>
      <c r="O41" s="4">
        <v>1100</v>
      </c>
      <c r="P41" s="4">
        <v>1370</v>
      </c>
      <c r="Q41" s="4">
        <v>1770</v>
      </c>
      <c r="R41" s="4"/>
      <c r="S41" s="4">
        <v>1550</v>
      </c>
      <c r="T41" s="4">
        <v>1570</v>
      </c>
      <c r="U41" s="4">
        <v>1840</v>
      </c>
      <c r="V41" s="4">
        <v>1920</v>
      </c>
      <c r="W41" s="4">
        <v>2490</v>
      </c>
      <c r="X41" s="4">
        <v>2860</v>
      </c>
      <c r="Y41" s="4">
        <v>2740</v>
      </c>
      <c r="Z41" s="4">
        <v>3060</v>
      </c>
      <c r="AA41" s="4"/>
      <c r="AB41" s="4"/>
      <c r="AC41" s="23"/>
    </row>
    <row r="42" spans="2:29" x14ac:dyDescent="0.3">
      <c r="B42" s="2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23"/>
    </row>
    <row r="43" spans="2:29" x14ac:dyDescent="0.3">
      <c r="B43" s="48"/>
      <c r="C43" s="49"/>
      <c r="D43" s="17"/>
      <c r="E43" s="17">
        <v>3770</v>
      </c>
      <c r="F43" s="17">
        <v>3790</v>
      </c>
      <c r="G43" s="17">
        <v>3650</v>
      </c>
      <c r="H43" s="17">
        <v>4750</v>
      </c>
      <c r="I43" s="17">
        <v>3450</v>
      </c>
      <c r="J43" s="17">
        <v>4540</v>
      </c>
      <c r="K43" s="17">
        <v>3950</v>
      </c>
      <c r="L43" s="17">
        <v>3960</v>
      </c>
      <c r="M43" s="17">
        <v>3120</v>
      </c>
      <c r="N43" s="17">
        <v>3190</v>
      </c>
      <c r="O43" s="17">
        <v>3560</v>
      </c>
      <c r="P43" s="17">
        <v>2970</v>
      </c>
      <c r="Q43" s="17">
        <v>2880</v>
      </c>
      <c r="R43" s="17">
        <v>3300</v>
      </c>
      <c r="S43" s="17">
        <v>2440</v>
      </c>
      <c r="T43" s="17">
        <v>2680</v>
      </c>
      <c r="U43" s="17">
        <v>3770</v>
      </c>
      <c r="V43" s="17">
        <v>3330</v>
      </c>
      <c r="W43" s="17">
        <v>2760</v>
      </c>
      <c r="X43" s="17">
        <v>3340</v>
      </c>
      <c r="Y43" s="4"/>
      <c r="Z43" s="17"/>
      <c r="AA43" s="4"/>
      <c r="AB43" s="4"/>
      <c r="AC43" s="23"/>
    </row>
    <row r="44" spans="2:29" x14ac:dyDescent="0.3">
      <c r="B44" s="48">
        <f>SUM(E44:AC44)</f>
        <v>0</v>
      </c>
      <c r="C44" s="49"/>
      <c r="D44" s="17"/>
      <c r="E44" s="4"/>
      <c r="F44" s="17"/>
      <c r="G44" s="17"/>
      <c r="H44" s="17"/>
      <c r="I44" s="4"/>
      <c r="J44" s="4"/>
      <c r="K44" s="17"/>
      <c r="L44" s="4"/>
      <c r="M44" s="17"/>
      <c r="N44" s="17"/>
      <c r="O44" s="17"/>
      <c r="P44" s="17"/>
      <c r="Q44" s="17"/>
      <c r="R44" s="17"/>
      <c r="S44" s="17"/>
      <c r="T44" s="17"/>
      <c r="U44" s="4"/>
      <c r="V44" s="17"/>
      <c r="W44" s="17"/>
      <c r="X44" s="17"/>
      <c r="Y44" s="17"/>
      <c r="Z44" s="17"/>
      <c r="AA44" s="4"/>
      <c r="AB44" s="4"/>
      <c r="AC44" s="23"/>
    </row>
    <row r="45" spans="2:29" x14ac:dyDescent="0.3">
      <c r="B45" s="48"/>
      <c r="C45" s="49"/>
      <c r="D45" s="17"/>
      <c r="E45" s="17">
        <v>2460</v>
      </c>
      <c r="F45" s="17">
        <v>2420</v>
      </c>
      <c r="G45" s="17">
        <v>2340</v>
      </c>
      <c r="H45" s="17">
        <v>2300</v>
      </c>
      <c r="I45" s="17">
        <v>2440</v>
      </c>
      <c r="J45" s="17">
        <v>2560</v>
      </c>
      <c r="K45" s="17">
        <v>2540</v>
      </c>
      <c r="L45" s="17">
        <v>2790</v>
      </c>
      <c r="M45" s="17">
        <v>2700</v>
      </c>
      <c r="N45" s="17">
        <v>2720</v>
      </c>
      <c r="O45" s="17">
        <v>2760</v>
      </c>
      <c r="P45" s="17">
        <v>2730</v>
      </c>
      <c r="Q45" s="17">
        <v>2520</v>
      </c>
      <c r="R45" s="17">
        <v>2610</v>
      </c>
      <c r="S45" s="17">
        <v>2530</v>
      </c>
      <c r="T45" s="17">
        <v>2940</v>
      </c>
      <c r="U45" s="17">
        <v>2590</v>
      </c>
      <c r="V45" s="17">
        <v>2690</v>
      </c>
      <c r="W45" s="17">
        <v>2950</v>
      </c>
      <c r="X45" s="17">
        <v>2910</v>
      </c>
      <c r="Y45" s="4"/>
      <c r="Z45" s="17"/>
      <c r="AA45" s="4"/>
      <c r="AB45" s="4"/>
      <c r="AC45" s="23"/>
    </row>
    <row r="46" spans="2:29" x14ac:dyDescent="0.3">
      <c r="B46" s="48">
        <f>SUM(E46:AC46)</f>
        <v>0</v>
      </c>
      <c r="C46" s="49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4"/>
      <c r="AC46" s="23"/>
    </row>
    <row r="47" spans="2:29" x14ac:dyDescent="0.3">
      <c r="B47" s="48"/>
      <c r="C47" s="49"/>
      <c r="D47" s="17"/>
      <c r="E47" s="17">
        <v>2120</v>
      </c>
      <c r="F47" s="17">
        <v>2230</v>
      </c>
      <c r="G47" s="17">
        <v>2330</v>
      </c>
      <c r="H47" s="17">
        <v>1830</v>
      </c>
      <c r="I47" s="17">
        <v>2170</v>
      </c>
      <c r="J47" s="17">
        <v>2330</v>
      </c>
      <c r="K47" s="17">
        <v>2330</v>
      </c>
      <c r="L47" s="17">
        <v>2260</v>
      </c>
      <c r="M47" s="17">
        <v>2450</v>
      </c>
      <c r="N47" s="17">
        <v>2360</v>
      </c>
      <c r="O47" s="17">
        <v>2190</v>
      </c>
      <c r="P47" s="17">
        <v>2370</v>
      </c>
      <c r="Q47" s="17">
        <v>2450</v>
      </c>
      <c r="R47" s="17">
        <v>2260</v>
      </c>
      <c r="S47" s="17">
        <v>1990</v>
      </c>
      <c r="T47" s="17">
        <v>2180</v>
      </c>
      <c r="U47" s="17">
        <v>2160</v>
      </c>
      <c r="V47" s="17">
        <v>2250</v>
      </c>
      <c r="W47" s="17">
        <v>2410</v>
      </c>
      <c r="X47" s="17">
        <v>2340</v>
      </c>
      <c r="Y47" s="17">
        <v>2070</v>
      </c>
      <c r="Z47" s="4"/>
      <c r="AA47" s="4"/>
      <c r="AB47" s="4"/>
      <c r="AC47" s="23"/>
    </row>
    <row r="48" spans="2:29" x14ac:dyDescent="0.3">
      <c r="B48" s="48">
        <f>SUM(E48:AC48)</f>
        <v>0</v>
      </c>
      <c r="C48" s="49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4"/>
      <c r="AB48" s="4"/>
      <c r="AC48" s="23"/>
    </row>
    <row r="49" spans="1:29" x14ac:dyDescent="0.3">
      <c r="B49" s="48"/>
      <c r="C49" s="49"/>
      <c r="D49" s="17"/>
      <c r="E49" s="17">
        <v>2150</v>
      </c>
      <c r="F49" s="17">
        <v>2130</v>
      </c>
      <c r="G49" s="17">
        <v>2040</v>
      </c>
      <c r="H49" s="17">
        <v>1950</v>
      </c>
      <c r="I49" s="17">
        <v>2010</v>
      </c>
      <c r="J49" s="17">
        <v>2030</v>
      </c>
      <c r="K49" s="17">
        <v>2130</v>
      </c>
      <c r="L49" s="17">
        <v>1940</v>
      </c>
      <c r="M49" s="17">
        <v>1960</v>
      </c>
      <c r="N49" s="17">
        <v>1860</v>
      </c>
      <c r="O49" s="17">
        <v>2210</v>
      </c>
      <c r="P49" s="17">
        <v>2150</v>
      </c>
      <c r="Q49" s="17">
        <v>1980</v>
      </c>
      <c r="R49" s="17">
        <v>2200</v>
      </c>
      <c r="S49" s="17">
        <v>2120</v>
      </c>
      <c r="T49" s="17">
        <v>1970</v>
      </c>
      <c r="U49" s="17">
        <v>1920</v>
      </c>
      <c r="V49" s="17">
        <v>1980</v>
      </c>
      <c r="W49" s="17">
        <v>1970</v>
      </c>
      <c r="X49" s="17">
        <v>1810</v>
      </c>
      <c r="Y49" s="4"/>
      <c r="Z49" s="17"/>
      <c r="AA49" s="4"/>
      <c r="AB49" s="4"/>
      <c r="AC49" s="23"/>
    </row>
    <row r="50" spans="1:29" x14ac:dyDescent="0.3">
      <c r="B50" s="48">
        <f>SUM(E50:AC50)</f>
        <v>0</v>
      </c>
      <c r="C50" s="49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 t="s">
        <v>20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4"/>
      <c r="AB50" s="4"/>
      <c r="AC50" s="23"/>
    </row>
    <row r="51" spans="1:29" x14ac:dyDescent="0.3">
      <c r="B51" s="48"/>
      <c r="C51" s="49"/>
      <c r="D51" s="17"/>
      <c r="E51" s="17">
        <v>1830</v>
      </c>
      <c r="F51" s="17">
        <v>1770</v>
      </c>
      <c r="G51" s="17">
        <v>1890</v>
      </c>
      <c r="H51" s="17">
        <v>1870</v>
      </c>
      <c r="I51" s="17">
        <v>1770</v>
      </c>
      <c r="J51" s="17">
        <v>1700</v>
      </c>
      <c r="K51" s="17">
        <v>1790</v>
      </c>
      <c r="L51" s="17">
        <v>1900</v>
      </c>
      <c r="M51" s="17">
        <v>1730</v>
      </c>
      <c r="N51" s="17">
        <v>1890</v>
      </c>
      <c r="O51" s="17">
        <v>1790</v>
      </c>
      <c r="P51" s="17">
        <v>1750</v>
      </c>
      <c r="Q51" s="17">
        <v>1700</v>
      </c>
      <c r="R51" s="17">
        <v>1780</v>
      </c>
      <c r="S51" s="17">
        <v>1830</v>
      </c>
      <c r="T51" s="17">
        <v>1730</v>
      </c>
      <c r="U51" s="17">
        <v>1890</v>
      </c>
      <c r="V51" s="17">
        <v>1870</v>
      </c>
      <c r="W51" s="17">
        <v>1810</v>
      </c>
      <c r="X51" s="17">
        <v>1620</v>
      </c>
      <c r="Y51" s="17">
        <v>1840</v>
      </c>
      <c r="Z51" s="4"/>
      <c r="AA51" s="4"/>
      <c r="AB51" s="4"/>
      <c r="AC51" s="23"/>
    </row>
    <row r="52" spans="1:29" x14ac:dyDescent="0.3">
      <c r="B52" s="48">
        <f>SUM(E52:AC52)</f>
        <v>0</v>
      </c>
      <c r="C52" s="49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4"/>
      <c r="AB52" s="4"/>
      <c r="AC52" s="23"/>
    </row>
    <row r="53" spans="1:29" x14ac:dyDescent="0.3">
      <c r="B53" s="48"/>
      <c r="C53" s="49"/>
      <c r="D53" s="4"/>
      <c r="E53" s="17">
        <v>1530</v>
      </c>
      <c r="F53" s="17">
        <v>1470</v>
      </c>
      <c r="G53" s="17">
        <v>1480</v>
      </c>
      <c r="H53" s="17">
        <v>1600</v>
      </c>
      <c r="I53" s="17">
        <v>1540</v>
      </c>
      <c r="J53" s="17">
        <v>1540</v>
      </c>
      <c r="K53" s="17">
        <v>1580</v>
      </c>
      <c r="L53" s="17">
        <v>1580</v>
      </c>
      <c r="M53" s="17">
        <v>1670</v>
      </c>
      <c r="N53" s="17">
        <v>1550</v>
      </c>
      <c r="O53" s="17">
        <v>1400</v>
      </c>
      <c r="P53" s="17">
        <v>1590</v>
      </c>
      <c r="Q53" s="17">
        <v>1660</v>
      </c>
      <c r="R53" s="17">
        <v>1720</v>
      </c>
      <c r="S53" s="4"/>
      <c r="T53" s="17">
        <v>1630</v>
      </c>
      <c r="U53" s="17">
        <v>1630</v>
      </c>
      <c r="V53" s="17">
        <v>1620</v>
      </c>
      <c r="W53" s="17">
        <v>1630</v>
      </c>
      <c r="X53" s="17">
        <v>1540</v>
      </c>
      <c r="Y53" s="17">
        <v>1650</v>
      </c>
      <c r="Z53" s="17">
        <v>1650</v>
      </c>
      <c r="AA53" s="4"/>
      <c r="AB53" s="4"/>
      <c r="AC53" s="23"/>
    </row>
    <row r="54" spans="1:29" x14ac:dyDescent="0.3">
      <c r="B54" s="48">
        <f>SUM(F54:AC54)</f>
        <v>0</v>
      </c>
      <c r="C54" s="49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4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4"/>
      <c r="AB54" s="4"/>
      <c r="AC54" s="23"/>
    </row>
    <row r="55" spans="1:29" ht="15" thickBot="1" x14ac:dyDescent="0.35">
      <c r="B55" s="33"/>
      <c r="C55" s="34"/>
      <c r="D55" s="12" t="s">
        <v>16</v>
      </c>
      <c r="E55" s="12">
        <v>1350</v>
      </c>
      <c r="F55" s="12">
        <v>1320</v>
      </c>
      <c r="G55" s="12">
        <v>1390</v>
      </c>
      <c r="H55" s="12">
        <v>1390</v>
      </c>
      <c r="I55" s="12">
        <v>1310</v>
      </c>
      <c r="J55" s="12">
        <v>1370</v>
      </c>
      <c r="K55" s="12">
        <v>1380</v>
      </c>
      <c r="L55" s="12">
        <v>1440</v>
      </c>
      <c r="M55" s="12">
        <v>1460</v>
      </c>
      <c r="N55" s="12">
        <v>1360</v>
      </c>
      <c r="O55" s="12">
        <v>1420</v>
      </c>
      <c r="P55" s="12">
        <v>1490</v>
      </c>
      <c r="Q55" s="12">
        <v>1420</v>
      </c>
      <c r="R55" s="12">
        <v>1320</v>
      </c>
      <c r="S55" s="12">
        <v>1310</v>
      </c>
      <c r="T55" s="12">
        <v>1480</v>
      </c>
      <c r="U55" s="12">
        <v>1350</v>
      </c>
      <c r="V55" s="12">
        <v>1430</v>
      </c>
      <c r="W55" s="12">
        <v>1280</v>
      </c>
      <c r="X55" s="12">
        <v>1470</v>
      </c>
      <c r="Y55" s="12">
        <v>1290</v>
      </c>
      <c r="Z55" s="34"/>
      <c r="AA55" s="34"/>
      <c r="AB55" s="34"/>
      <c r="AC55" s="36"/>
    </row>
    <row r="56" spans="1:29" x14ac:dyDescent="0.3">
      <c r="B56" s="50"/>
      <c r="C56" s="50"/>
    </row>
    <row r="57" spans="1:29" ht="14.4" customHeight="1" thickBot="1" x14ac:dyDescent="0.6">
      <c r="B57" s="50"/>
      <c r="C57" s="50"/>
      <c r="L57" s="1"/>
      <c r="M57" s="1"/>
      <c r="N57" s="1"/>
      <c r="O57" s="1" t="s">
        <v>17</v>
      </c>
    </row>
    <row r="58" spans="1:29" ht="14.4" customHeight="1" x14ac:dyDescent="0.55000000000000004">
      <c r="B58" s="51"/>
      <c r="C58" s="52"/>
      <c r="D58" s="28"/>
      <c r="E58" s="28"/>
      <c r="F58" s="28"/>
      <c r="G58" s="28"/>
      <c r="H58" s="28"/>
      <c r="I58" s="28"/>
      <c r="J58" s="28"/>
      <c r="K58" s="61" t="s">
        <v>3</v>
      </c>
      <c r="L58" s="61"/>
      <c r="M58" s="61"/>
      <c r="N58" s="61"/>
      <c r="O58" s="61"/>
      <c r="P58" s="38"/>
      <c r="Q58" s="3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31"/>
    </row>
    <row r="59" spans="1:29" ht="14.4" customHeight="1" x14ac:dyDescent="0.55000000000000004">
      <c r="B59" s="48" t="s">
        <v>5</v>
      </c>
      <c r="C59" s="49"/>
      <c r="D59" s="17"/>
      <c r="E59" s="4"/>
      <c r="F59" s="4"/>
      <c r="G59" s="4"/>
      <c r="H59" s="17"/>
      <c r="I59" s="17"/>
      <c r="J59" s="17"/>
      <c r="K59" s="62"/>
      <c r="L59" s="62"/>
      <c r="M59" s="62"/>
      <c r="N59" s="62"/>
      <c r="O59" s="62"/>
      <c r="P59" s="37"/>
      <c r="Q59" s="37"/>
      <c r="R59" s="17"/>
      <c r="S59" s="17"/>
      <c r="T59" s="17"/>
      <c r="U59" s="17"/>
      <c r="V59" s="17"/>
      <c r="W59" s="17"/>
      <c r="X59" s="4"/>
      <c r="Y59" s="4"/>
      <c r="Z59" s="4"/>
      <c r="AA59" s="4"/>
      <c r="AB59" s="4"/>
      <c r="AC59" s="23"/>
    </row>
    <row r="60" spans="1:29" x14ac:dyDescent="0.3">
      <c r="B60" s="48">
        <f>SUM(E60:AD61)</f>
        <v>60940</v>
      </c>
      <c r="C60" s="49"/>
      <c r="D60" s="17" t="s">
        <v>21</v>
      </c>
      <c r="E60" s="4">
        <v>4920</v>
      </c>
      <c r="F60" s="17">
        <v>6440</v>
      </c>
      <c r="G60" s="4"/>
      <c r="H60" s="17">
        <v>7060</v>
      </c>
      <c r="I60" s="17"/>
      <c r="J60" s="17"/>
      <c r="K60" s="17">
        <v>6000</v>
      </c>
      <c r="L60" s="17">
        <v>6100</v>
      </c>
      <c r="M60" s="4"/>
      <c r="N60" s="17">
        <v>6300</v>
      </c>
      <c r="O60" s="17">
        <v>6500</v>
      </c>
      <c r="P60" s="17">
        <v>17620</v>
      </c>
      <c r="Q60" s="17"/>
      <c r="R60" s="17"/>
      <c r="S60" s="17"/>
      <c r="T60" s="18"/>
      <c r="U60" s="17"/>
      <c r="V60" s="17"/>
      <c r="W60" s="17"/>
      <c r="X60" s="4"/>
      <c r="Y60" s="4"/>
      <c r="Z60" s="4"/>
      <c r="AA60" s="4"/>
      <c r="AB60" s="4"/>
      <c r="AC60" s="23"/>
    </row>
    <row r="61" spans="1:29" x14ac:dyDescent="0.3">
      <c r="B61" s="48"/>
      <c r="C61" s="49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4"/>
      <c r="U61" s="17"/>
      <c r="V61" s="17"/>
      <c r="W61" s="17"/>
      <c r="X61" s="4"/>
      <c r="Y61" s="4"/>
      <c r="Z61" s="4"/>
      <c r="AA61" s="4"/>
      <c r="AB61" s="4"/>
      <c r="AC61" s="23"/>
    </row>
    <row r="62" spans="1:29" x14ac:dyDescent="0.3">
      <c r="B62" s="48"/>
      <c r="C62" s="49"/>
      <c r="D62" s="17" t="s">
        <v>22</v>
      </c>
      <c r="E62" s="17">
        <v>17470</v>
      </c>
      <c r="F62" s="17">
        <v>13900</v>
      </c>
      <c r="G62" s="17">
        <v>16360</v>
      </c>
      <c r="H62" s="17">
        <v>15330</v>
      </c>
      <c r="I62" s="17">
        <v>12850</v>
      </c>
      <c r="J62" s="17"/>
      <c r="K62" s="17">
        <v>11590</v>
      </c>
      <c r="L62" s="17">
        <v>10900</v>
      </c>
      <c r="M62" s="17">
        <v>10000</v>
      </c>
      <c r="N62" s="17">
        <v>10920</v>
      </c>
      <c r="O62" s="17">
        <v>10050</v>
      </c>
      <c r="P62" s="17">
        <v>9920</v>
      </c>
      <c r="Q62" s="17">
        <v>9790</v>
      </c>
      <c r="R62" s="17">
        <v>6690</v>
      </c>
      <c r="S62" s="17">
        <v>6740</v>
      </c>
      <c r="T62" s="17"/>
      <c r="U62" s="17">
        <v>8790</v>
      </c>
      <c r="V62" s="17">
        <v>8660</v>
      </c>
      <c r="W62" s="17">
        <v>8620</v>
      </c>
      <c r="X62" s="4">
        <v>8030</v>
      </c>
      <c r="Y62" s="4">
        <v>8000</v>
      </c>
      <c r="Z62" s="4">
        <v>7240</v>
      </c>
      <c r="AA62" s="4">
        <v>7070</v>
      </c>
      <c r="AB62" s="4">
        <v>7070</v>
      </c>
      <c r="AC62" s="23">
        <v>7020</v>
      </c>
    </row>
    <row r="63" spans="1:29" ht="15" thickBot="1" x14ac:dyDescent="0.35">
      <c r="A63" t="s">
        <v>4</v>
      </c>
      <c r="B63" s="56">
        <f>SUM(E63:AD64)</f>
        <v>40340</v>
      </c>
      <c r="C63" s="57"/>
      <c r="D63" s="34"/>
      <c r="E63" s="34">
        <v>7400</v>
      </c>
      <c r="F63" s="34">
        <v>6930</v>
      </c>
      <c r="G63" s="12">
        <v>6930</v>
      </c>
      <c r="H63" s="12">
        <v>6100</v>
      </c>
      <c r="I63" s="34"/>
      <c r="J63" s="12"/>
      <c r="K63" s="12">
        <v>6750</v>
      </c>
      <c r="L63" s="12"/>
      <c r="M63" s="12">
        <v>6230</v>
      </c>
      <c r="N63" s="12"/>
      <c r="O63" s="12"/>
      <c r="P63" s="12"/>
      <c r="Q63" s="12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6"/>
    </row>
    <row r="64" spans="1:29" x14ac:dyDescent="0.3">
      <c r="B64" s="53"/>
      <c r="C64" s="53"/>
    </row>
    <row r="65" spans="18:29" ht="16.2" customHeight="1" x14ac:dyDescent="0.3"/>
    <row r="66" spans="18:29" ht="15.6" customHeight="1" x14ac:dyDescent="0.3"/>
    <row r="67" spans="18:29" ht="18" customHeight="1" x14ac:dyDescent="0.3"/>
    <row r="68" spans="18:29" ht="16.2" customHeight="1" x14ac:dyDescent="0.6">
      <c r="R68" s="59" t="s">
        <v>7</v>
      </c>
      <c r="S68" s="3"/>
      <c r="T68" s="59" t="e">
        <f>SUM(#REF!)</f>
        <v>#REF!</v>
      </c>
      <c r="U68" s="59"/>
      <c r="V68" s="59"/>
      <c r="W68" s="4"/>
      <c r="X68" s="60" t="s">
        <v>6</v>
      </c>
      <c r="Y68" s="60"/>
      <c r="Z68" s="60"/>
      <c r="AA68" s="5"/>
      <c r="AB68" s="60">
        <f>COUNT(AE4:AE19)</f>
        <v>0</v>
      </c>
      <c r="AC68" s="60"/>
    </row>
    <row r="69" spans="18:29" ht="18" customHeight="1" x14ac:dyDescent="0.6">
      <c r="R69" s="59"/>
      <c r="S69" s="3"/>
      <c r="T69" s="59"/>
      <c r="U69" s="59"/>
      <c r="V69" s="59"/>
      <c r="W69" s="4"/>
      <c r="X69" s="60"/>
      <c r="Y69" s="60"/>
      <c r="Z69" s="60"/>
      <c r="AA69" s="5"/>
      <c r="AB69" s="60"/>
      <c r="AC69" s="60"/>
    </row>
    <row r="70" spans="18:29" ht="18" customHeight="1" x14ac:dyDescent="0.6">
      <c r="R70" s="3"/>
      <c r="S70" s="3"/>
      <c r="T70" s="3"/>
      <c r="U70" s="3"/>
      <c r="V70" s="3"/>
      <c r="W70" s="4"/>
      <c r="X70" s="5"/>
      <c r="Y70" s="5"/>
      <c r="Z70" s="5"/>
      <c r="AA70" s="5"/>
      <c r="AB70" s="5"/>
      <c r="AC70" s="5"/>
    </row>
    <row r="71" spans="18:29" ht="18" customHeight="1" x14ac:dyDescent="0.6">
      <c r="R71" s="59" t="s">
        <v>8</v>
      </c>
      <c r="S71" s="3"/>
      <c r="T71" s="59" t="e">
        <f>SUM(#REF!)</f>
        <v>#REF!</v>
      </c>
      <c r="U71" s="59"/>
      <c r="V71" s="59"/>
      <c r="W71" s="4"/>
      <c r="X71" s="60" t="s">
        <v>6</v>
      </c>
      <c r="Y71" s="60"/>
      <c r="Z71" s="60"/>
      <c r="AA71" s="5"/>
      <c r="AB71" s="60">
        <f>COUNT(#REF!)</f>
        <v>0</v>
      </c>
      <c r="AC71" s="60"/>
    </row>
    <row r="72" spans="18:29" ht="15" customHeight="1" x14ac:dyDescent="0.6">
      <c r="R72" s="59"/>
      <c r="S72" s="3"/>
      <c r="T72" s="59"/>
      <c r="U72" s="59"/>
      <c r="V72" s="59"/>
      <c r="W72" s="4"/>
      <c r="X72" s="60"/>
      <c r="Y72" s="60"/>
      <c r="Z72" s="60"/>
      <c r="AA72" s="5"/>
      <c r="AB72" s="60"/>
      <c r="AC72" s="60"/>
    </row>
    <row r="73" spans="18:29" ht="16.2" customHeight="1" x14ac:dyDescent="0.6">
      <c r="R73" s="3"/>
      <c r="S73" s="3"/>
      <c r="T73" s="3"/>
      <c r="U73" s="3"/>
      <c r="V73" s="3"/>
      <c r="W73" s="4"/>
      <c r="X73" s="5"/>
      <c r="Y73" s="5"/>
      <c r="Z73" s="5"/>
      <c r="AA73" s="5"/>
      <c r="AB73" s="5"/>
      <c r="AC73" s="5"/>
    </row>
    <row r="74" spans="18:29" ht="13.8" customHeight="1" x14ac:dyDescent="0.6">
      <c r="R74" s="59" t="s">
        <v>9</v>
      </c>
      <c r="S74" s="3"/>
      <c r="T74" s="59" t="e">
        <f>SUM(#REF!)</f>
        <v>#REF!</v>
      </c>
      <c r="U74" s="59"/>
      <c r="V74" s="59"/>
      <c r="W74" s="4"/>
      <c r="X74" s="60" t="s">
        <v>6</v>
      </c>
      <c r="Y74" s="60"/>
      <c r="Z74" s="60"/>
      <c r="AA74" s="5"/>
      <c r="AB74" s="60">
        <f>COUNT(#REF!)</f>
        <v>0</v>
      </c>
      <c r="AC74" s="60"/>
    </row>
    <row r="75" spans="18:29" ht="19.8" customHeight="1" x14ac:dyDescent="0.6">
      <c r="R75" s="59"/>
      <c r="S75" s="3"/>
      <c r="T75" s="59"/>
      <c r="U75" s="59"/>
      <c r="V75" s="59"/>
      <c r="W75" s="4"/>
      <c r="X75" s="60"/>
      <c r="Y75" s="60"/>
      <c r="Z75" s="60"/>
      <c r="AA75" s="5"/>
      <c r="AB75" s="60"/>
      <c r="AC75" s="60"/>
    </row>
    <row r="76" spans="18:29" ht="32.4" x14ac:dyDescent="0.6">
      <c r="R76" s="3"/>
      <c r="S76" s="3"/>
      <c r="T76" s="3"/>
      <c r="U76" s="3"/>
      <c r="V76" s="3"/>
      <c r="W76" s="4"/>
      <c r="X76" s="5"/>
      <c r="Y76" s="5"/>
      <c r="Z76" s="5"/>
      <c r="AA76" s="5"/>
      <c r="AB76" s="5"/>
      <c r="AC76" s="5"/>
    </row>
    <row r="77" spans="18:29" ht="32.4" x14ac:dyDescent="0.6">
      <c r="R77" s="59" t="s">
        <v>10</v>
      </c>
      <c r="S77" s="3"/>
      <c r="T77" s="59" t="e">
        <f>SUM(#REF!)</f>
        <v>#REF!</v>
      </c>
      <c r="U77" s="59"/>
      <c r="V77" s="59"/>
      <c r="W77" s="4"/>
      <c r="X77" s="60" t="s">
        <v>6</v>
      </c>
      <c r="Y77" s="60"/>
      <c r="Z77" s="60"/>
      <c r="AA77" s="5"/>
      <c r="AB77" s="60">
        <f>COUNT(#REF!)</f>
        <v>0</v>
      </c>
      <c r="AC77" s="60"/>
    </row>
    <row r="78" spans="18:29" ht="32.4" x14ac:dyDescent="0.6">
      <c r="R78" s="59"/>
      <c r="S78" s="3"/>
      <c r="T78" s="59"/>
      <c r="U78" s="59"/>
      <c r="V78" s="59"/>
      <c r="W78" s="4"/>
      <c r="X78" s="60"/>
      <c r="Y78" s="60"/>
      <c r="Z78" s="60"/>
      <c r="AA78" s="5"/>
      <c r="AB78" s="60"/>
      <c r="AC78" s="60"/>
    </row>
    <row r="81" spans="4:12" ht="15" thickBot="1" x14ac:dyDescent="0.35"/>
    <row r="82" spans="4:12" x14ac:dyDescent="0.3">
      <c r="D82" s="47" t="s">
        <v>14</v>
      </c>
      <c r="E82" s="47"/>
      <c r="F82" s="47"/>
      <c r="H82" s="63" t="s">
        <v>15</v>
      </c>
      <c r="I82" s="64"/>
      <c r="J82" s="65"/>
    </row>
    <row r="83" spans="4:12" ht="14.4" customHeight="1" x14ac:dyDescent="0.3">
      <c r="D83" s="47" t="s">
        <v>13</v>
      </c>
      <c r="E83" s="47"/>
      <c r="F83" s="47"/>
      <c r="H83" s="22" t="s">
        <v>13</v>
      </c>
      <c r="I83" s="4"/>
      <c r="J83" s="23"/>
    </row>
    <row r="84" spans="4:12" x14ac:dyDescent="0.3">
      <c r="D84" s="19" t="s">
        <v>18</v>
      </c>
      <c r="E84" s="8" t="s">
        <v>12</v>
      </c>
      <c r="F84" s="8" t="s">
        <v>11</v>
      </c>
      <c r="H84" s="24"/>
      <c r="I84" s="10" t="s">
        <v>12</v>
      </c>
      <c r="J84" s="8" t="s">
        <v>11</v>
      </c>
    </row>
    <row r="85" spans="4:12" x14ac:dyDescent="0.3">
      <c r="D85" s="19" t="s">
        <v>7</v>
      </c>
      <c r="E85" s="8">
        <v>4</v>
      </c>
      <c r="F85" s="21">
        <v>1620</v>
      </c>
      <c r="H85" s="19" t="s">
        <v>7</v>
      </c>
      <c r="I85" s="10">
        <v>4</v>
      </c>
      <c r="J85" s="9">
        <v>1830</v>
      </c>
    </row>
    <row r="86" spans="4:12" ht="15" thickBot="1" x14ac:dyDescent="0.35">
      <c r="D86" s="19" t="s">
        <v>7</v>
      </c>
      <c r="E86" s="8">
        <v>6</v>
      </c>
      <c r="F86" s="21">
        <v>980</v>
      </c>
      <c r="H86" s="19" t="s">
        <v>7</v>
      </c>
      <c r="I86" s="13">
        <v>8</v>
      </c>
      <c r="J86" s="9">
        <v>1160</v>
      </c>
    </row>
    <row r="87" spans="4:12" x14ac:dyDescent="0.3">
      <c r="D87" s="19" t="s">
        <v>7</v>
      </c>
      <c r="E87" s="8">
        <v>1</v>
      </c>
      <c r="F87" s="20">
        <v>1210</v>
      </c>
      <c r="H87" s="19"/>
      <c r="I87" s="15"/>
      <c r="J87" s="14"/>
    </row>
    <row r="88" spans="4:12" ht="15" thickBot="1" x14ac:dyDescent="0.35">
      <c r="D88" s="19" t="s">
        <v>7</v>
      </c>
      <c r="E88" s="8">
        <v>4</v>
      </c>
      <c r="F88" s="20">
        <v>890</v>
      </c>
      <c r="H88" s="25"/>
      <c r="I88" s="11"/>
      <c r="J88" s="16"/>
    </row>
    <row r="89" spans="4:12" x14ac:dyDescent="0.3">
      <c r="D89" s="19" t="s">
        <v>8</v>
      </c>
      <c r="E89" s="8" t="s">
        <v>9</v>
      </c>
      <c r="F89" s="20">
        <v>1200</v>
      </c>
    </row>
    <row r="90" spans="4:12" x14ac:dyDescent="0.3">
      <c r="D90" s="47" t="s">
        <v>13</v>
      </c>
      <c r="E90" s="47"/>
      <c r="F90" s="19">
        <f>SUM(F85:F89)</f>
        <v>5900</v>
      </c>
      <c r="H90" s="47" t="s">
        <v>13</v>
      </c>
      <c r="I90" s="47"/>
      <c r="J90">
        <f>SUM(J85:J88)</f>
        <v>2990</v>
      </c>
      <c r="L90">
        <f>J90-F90</f>
        <v>-2910</v>
      </c>
    </row>
    <row r="91" spans="4:12" ht="19.8" x14ac:dyDescent="0.4">
      <c r="D91" s="46" t="s">
        <v>19</v>
      </c>
      <c r="E91" s="46"/>
      <c r="F91" s="46"/>
      <c r="G91" s="46"/>
      <c r="H91" s="46"/>
      <c r="I91" s="46"/>
      <c r="J91" s="46"/>
    </row>
    <row r="92" spans="4:12" x14ac:dyDescent="0.3">
      <c r="D92" s="2" t="s">
        <v>9</v>
      </c>
      <c r="E92" s="2">
        <v>6</v>
      </c>
      <c r="F92" s="26">
        <v>1590</v>
      </c>
      <c r="G92" s="2"/>
      <c r="H92" s="2" t="s">
        <v>7</v>
      </c>
      <c r="I92" s="2">
        <v>8</v>
      </c>
      <c r="J92" s="27">
        <v>960</v>
      </c>
    </row>
    <row r="93" spans="4:12" x14ac:dyDescent="0.3">
      <c r="D93" s="2"/>
      <c r="E93" s="2"/>
      <c r="F93" s="2"/>
      <c r="G93" s="2"/>
      <c r="H93" s="2" t="s">
        <v>8</v>
      </c>
      <c r="I93" s="2">
        <v>3</v>
      </c>
      <c r="J93" s="27">
        <v>2090</v>
      </c>
    </row>
    <row r="94" spans="4:12" x14ac:dyDescent="0.3">
      <c r="D94" s="2"/>
      <c r="E94" s="2"/>
      <c r="F94" s="2"/>
      <c r="G94" s="2"/>
      <c r="H94" s="2" t="s">
        <v>8</v>
      </c>
      <c r="I94" s="2">
        <v>4</v>
      </c>
      <c r="J94" s="27">
        <v>2440</v>
      </c>
    </row>
    <row r="95" spans="4:12" x14ac:dyDescent="0.3">
      <c r="D95" s="45" t="s">
        <v>23</v>
      </c>
      <c r="E95" s="45"/>
      <c r="F95" s="45"/>
      <c r="G95" s="45"/>
      <c r="H95" s="45"/>
      <c r="I95" s="45"/>
      <c r="J95" s="45"/>
    </row>
    <row r="96" spans="4:12" x14ac:dyDescent="0.3">
      <c r="D96" t="s">
        <v>7</v>
      </c>
      <c r="E96">
        <v>7</v>
      </c>
      <c r="F96" s="39">
        <v>1110</v>
      </c>
    </row>
    <row r="97" spans="4:6" x14ac:dyDescent="0.3">
      <c r="F97" s="17"/>
    </row>
    <row r="98" spans="4:6" x14ac:dyDescent="0.3">
      <c r="D98" t="s">
        <v>7</v>
      </c>
      <c r="E98">
        <v>8</v>
      </c>
      <c r="F98" s="39">
        <v>1110</v>
      </c>
    </row>
  </sheetData>
  <mergeCells count="84">
    <mergeCell ref="J21:Q22"/>
    <mergeCell ref="J39:Q40"/>
    <mergeCell ref="D90:E90"/>
    <mergeCell ref="X74:Z75"/>
    <mergeCell ref="X77:Z78"/>
    <mergeCell ref="AB68:AC69"/>
    <mergeCell ref="AB71:AC72"/>
    <mergeCell ref="AB74:AC75"/>
    <mergeCell ref="AB77:AC78"/>
    <mergeCell ref="R74:R75"/>
    <mergeCell ref="R77:R78"/>
    <mergeCell ref="T68:V69"/>
    <mergeCell ref="T71:V72"/>
    <mergeCell ref="T74:V75"/>
    <mergeCell ref="T77:V78"/>
    <mergeCell ref="D83:F83"/>
    <mergeCell ref="D82:F82"/>
    <mergeCell ref="H82:J82"/>
    <mergeCell ref="B63:C63"/>
    <mergeCell ref="B64:C64"/>
    <mergeCell ref="B58:C58"/>
    <mergeCell ref="B59:C59"/>
    <mergeCell ref="B60:C60"/>
    <mergeCell ref="B61:C61"/>
    <mergeCell ref="B62:C62"/>
    <mergeCell ref="J2:P3"/>
    <mergeCell ref="K58:O59"/>
    <mergeCell ref="B53:C53"/>
    <mergeCell ref="B54:C54"/>
    <mergeCell ref="B56:C56"/>
    <mergeCell ref="B57:C57"/>
    <mergeCell ref="B52:C52"/>
    <mergeCell ref="B51:C51"/>
    <mergeCell ref="B46:C46"/>
    <mergeCell ref="B47:C47"/>
    <mergeCell ref="B48:C48"/>
    <mergeCell ref="B49:C49"/>
    <mergeCell ref="AG1:AI1"/>
    <mergeCell ref="R68:R69"/>
    <mergeCell ref="R71:R72"/>
    <mergeCell ref="X68:Z69"/>
    <mergeCell ref="X71:Z72"/>
    <mergeCell ref="B50:C50"/>
    <mergeCell ref="B41:C41"/>
    <mergeCell ref="B43:C43"/>
    <mergeCell ref="B44:C44"/>
    <mergeCell ref="B45:C45"/>
    <mergeCell ref="B34:C34"/>
    <mergeCell ref="B35:C35"/>
    <mergeCell ref="B36:C36"/>
    <mergeCell ref="B37:C37"/>
    <mergeCell ref="B38:C38"/>
    <mergeCell ref="B1:C1"/>
    <mergeCell ref="B2:C2"/>
    <mergeCell ref="B3:C3"/>
    <mergeCell ref="B4:C4"/>
    <mergeCell ref="B5:C5"/>
    <mergeCell ref="B11:C11"/>
    <mergeCell ref="B12:C12"/>
    <mergeCell ref="B6:C6"/>
    <mergeCell ref="B7:C7"/>
    <mergeCell ref="B8:C8"/>
    <mergeCell ref="B9:C9"/>
    <mergeCell ref="B10:C10"/>
    <mergeCell ref="B33:C33"/>
    <mergeCell ref="B13:C13"/>
    <mergeCell ref="B14:C14"/>
    <mergeCell ref="B15:C15"/>
    <mergeCell ref="B16:C16"/>
    <mergeCell ref="B17:C17"/>
    <mergeCell ref="D95:J95"/>
    <mergeCell ref="D91:J91"/>
    <mergeCell ref="H90:I90"/>
    <mergeCell ref="B18:C18"/>
    <mergeCell ref="B22:C22"/>
    <mergeCell ref="B23:C23"/>
    <mergeCell ref="B25:C25"/>
    <mergeCell ref="B26:C26"/>
    <mergeCell ref="B27:C27"/>
    <mergeCell ref="B28:C28"/>
    <mergeCell ref="B29:C29"/>
    <mergeCell ref="B30:C30"/>
    <mergeCell ref="B31:C31"/>
    <mergeCell ref="B32:C3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atha</dc:creator>
  <cp:lastModifiedBy>zaidan atha</cp:lastModifiedBy>
  <dcterms:created xsi:type="dcterms:W3CDTF">2025-09-08T12:48:20Z</dcterms:created>
  <dcterms:modified xsi:type="dcterms:W3CDTF">2026-05-21T06:24:08Z</dcterms:modified>
</cp:coreProperties>
</file>