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78A1EF66-23BF-4A06-B1CA-BC92C4AAD61F}" xr6:coauthVersionLast="47" xr6:coauthVersionMax="47" xr10:uidLastSave="{00000000-0000-0000-0000-000000000000}"/>
  <bookViews>
    <workbookView xWindow="-96" yWindow="0" windowWidth="11712" windowHeight="12336" xr2:uid="{BDE821E5-8E64-4F20-91A8-26B58458A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60" i="1" l="1"/>
  <c r="N19" i="1"/>
  <c r="F60" i="1" s="1"/>
  <c r="B27" i="1" l="1"/>
  <c r="B24" i="1"/>
  <c r="B22" i="1"/>
  <c r="B20" i="1"/>
  <c r="B18" i="1"/>
  <c r="B11" i="1"/>
  <c r="B8" i="1"/>
  <c r="B13" i="1"/>
  <c r="B6" i="1"/>
  <c r="B4" i="1"/>
  <c r="N51" i="1"/>
  <c r="N57" i="1"/>
  <c r="N8" i="1"/>
  <c r="N6" i="1"/>
  <c r="N4" i="1"/>
  <c r="N10" i="1"/>
  <c r="N54" i="1"/>
  <c r="F51" i="1" l="1"/>
  <c r="F57" i="1"/>
  <c r="F54" i="1"/>
</calcChain>
</file>

<file path=xl/sharedStrings.xml><?xml version="1.0" encoding="utf-8"?>
<sst xmlns="http://schemas.openxmlformats.org/spreadsheetml/2006/main" count="25" uniqueCount="15">
  <si>
    <t>Gelang Oval 8K No 1 (U)</t>
  </si>
  <si>
    <r>
      <t>Gelang Oval 8K No 2 (</t>
    </r>
    <r>
      <rPr>
        <sz val="22"/>
        <color rgb="FFFF0000"/>
        <rFont val="Calibri"/>
        <family val="2"/>
        <scheme val="minor"/>
      </rPr>
      <t>V)</t>
    </r>
  </si>
  <si>
    <t>Gelang 8K Oval (W)</t>
  </si>
  <si>
    <t>Gelang Plastik (PL)</t>
  </si>
  <si>
    <t>U</t>
  </si>
  <si>
    <t>V</t>
  </si>
  <si>
    <t>W</t>
  </si>
  <si>
    <t>PL</t>
  </si>
  <si>
    <t>TOTAL</t>
  </si>
  <si>
    <t>JUMLAH</t>
  </si>
  <si>
    <t>WARNING</t>
  </si>
  <si>
    <t>DESEMBER</t>
  </si>
  <si>
    <t>FEBUARI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</si>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</sst>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E3F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0" fillId="2" borderId="0" xfId="0" applyFill="1"/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3" xfId="0" applyFill="1" applyBorder="1"/>
    <xf numFmtId="0" fontId="0" fillId="0" borderId="16" xfId="0" applyBorder="1"/>
    <xf numFmtId="0" fontId="0" fillId="0" borderId="17" xfId="0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3" fillId="0" borderId="22" xfId="0" applyFont="1" applyBorder="1" applyAlignment="1">
      <alignment horizontal="center"/>
    </xf>
    <xf numFmtId="0" fontId="0" fillId="0" borderId="23" xfId="0" applyBorder="1"/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7" xfId="0" applyFill="1" applyBorder="1"/>
    <xf numFmtId="0" fontId="0" fillId="2" borderId="25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2" xfId="0" applyBorder="1"/>
    <xf numFmtId="0" fontId="0" fillId="0" borderId="12" xfId="0" applyBorder="1"/>
    <xf numFmtId="0" fontId="3" fillId="0" borderId="3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0" fillId="2" borderId="31" xfId="0" applyFill="1" applyBorder="1"/>
    <xf numFmtId="0" fontId="0" fillId="4" borderId="8" xfId="0" applyFill="1" applyBorder="1"/>
    <xf numFmtId="0" fontId="0" fillId="0" borderId="31" xfId="0" applyBorder="1"/>
    <xf numFmtId="0" fontId="0" fillId="5" borderId="7" xfId="0" applyFill="1" applyBorder="1"/>
    <xf numFmtId="0" fontId="0" fillId="5" borderId="1" xfId="0" applyFill="1" applyBorder="1"/>
    <xf numFmtId="0" fontId="0" fillId="6" borderId="31" xfId="0" applyFill="1" applyBorder="1"/>
    <xf numFmtId="0" fontId="0" fillId="7" borderId="10" xfId="0" applyFill="1" applyBorder="1"/>
    <xf numFmtId="0" fontId="0" fillId="8" borderId="0" xfId="0" applyFill="1"/>
    <xf numFmtId="0" fontId="4" fillId="0" borderId="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93A3-1D18-4EFB-9CBD-1096F8699DE7}">
  <dimension ref="B1:X69"/>
  <sheetViews>
    <sheetView tabSelected="1" topLeftCell="G13" zoomScale="164" workbookViewId="0">
      <selection activeCell="L22" sqref="L22"/>
    </sheetView>
  </sheetViews>
  <sheetFormatPr defaultRowHeight="14.4" x14ac:dyDescent="0.3"/>
  <sheetData>
    <row r="1" spans="2:24" ht="14.4" customHeight="1" thickBot="1" x14ac:dyDescent="0.35"/>
    <row r="2" spans="2:24" ht="16.8" customHeight="1" x14ac:dyDescent="0.3">
      <c r="B2" s="27"/>
      <c r="C2" s="17"/>
      <c r="D2" s="17"/>
      <c r="E2" s="17"/>
      <c r="F2" s="58" t="s">
        <v>0</v>
      </c>
      <c r="G2" s="58"/>
      <c r="H2" s="58"/>
      <c r="I2" s="58"/>
      <c r="J2" s="58"/>
      <c r="K2" s="18"/>
      <c r="N2" s="15"/>
      <c r="O2" s="16"/>
      <c r="P2" s="17"/>
      <c r="Q2" s="58" t="s">
        <v>2</v>
      </c>
      <c r="R2" s="58"/>
      <c r="S2" s="58"/>
      <c r="T2" s="58"/>
      <c r="U2" s="58"/>
      <c r="V2" s="35"/>
      <c r="W2" s="33"/>
    </row>
    <row r="3" spans="2:24" ht="15" thickBot="1" x14ac:dyDescent="0.35">
      <c r="B3" s="71" t="s">
        <v>8</v>
      </c>
      <c r="C3" s="72"/>
      <c r="D3" s="13"/>
      <c r="E3" s="13"/>
      <c r="F3" s="59"/>
      <c r="G3" s="59"/>
      <c r="H3" s="59"/>
      <c r="I3" s="59"/>
      <c r="J3" s="59"/>
      <c r="K3" s="29"/>
      <c r="N3" s="71" t="s">
        <v>8</v>
      </c>
      <c r="O3" s="72"/>
      <c r="P3" s="13"/>
      <c r="Q3" s="59"/>
      <c r="R3" s="59"/>
      <c r="S3" s="59"/>
      <c r="T3" s="59"/>
      <c r="U3" s="59"/>
      <c r="V3" s="36"/>
      <c r="W3" s="34"/>
    </row>
    <row r="4" spans="2:24" x14ac:dyDescent="0.3">
      <c r="B4" s="63">
        <f>SUM(F4:M4)</f>
        <v>71190</v>
      </c>
      <c r="C4" s="64"/>
      <c r="D4" s="17"/>
      <c r="E4" s="17">
        <v>21880</v>
      </c>
      <c r="F4" s="17">
        <v>16470</v>
      </c>
      <c r="G4" s="17">
        <v>12640</v>
      </c>
      <c r="H4" s="17">
        <v>12430</v>
      </c>
      <c r="I4" s="17">
        <v>12160</v>
      </c>
      <c r="J4" s="17">
        <v>17490</v>
      </c>
      <c r="K4" s="18"/>
      <c r="N4" s="63">
        <f>SUM(T5:X6)</f>
        <v>28350</v>
      </c>
      <c r="O4" s="64"/>
      <c r="P4" s="23"/>
      <c r="Q4" s="23">
        <v>15090</v>
      </c>
      <c r="R4" s="23">
        <v>14930</v>
      </c>
      <c r="S4" s="23">
        <v>14180</v>
      </c>
      <c r="T4" s="23">
        <v>12560</v>
      </c>
      <c r="U4" s="23">
        <v>12450</v>
      </c>
      <c r="V4" s="47"/>
      <c r="W4" s="18"/>
    </row>
    <row r="5" spans="2:24" ht="15" thickBot="1" x14ac:dyDescent="0.35">
      <c r="B5" s="61"/>
      <c r="C5" s="62"/>
      <c r="D5" s="19"/>
      <c r="E5" s="19"/>
      <c r="F5" s="19"/>
      <c r="G5" s="19"/>
      <c r="H5" s="19"/>
      <c r="I5" s="19"/>
      <c r="J5" s="19"/>
      <c r="K5" s="20"/>
      <c r="N5" s="61"/>
      <c r="O5" s="62"/>
      <c r="P5" s="24"/>
      <c r="Q5" s="19"/>
      <c r="R5" s="19"/>
      <c r="S5" s="19"/>
      <c r="T5" s="24"/>
      <c r="U5" s="24">
        <v>8880</v>
      </c>
    </row>
    <row r="6" spans="2:24" ht="15" thickBot="1" x14ac:dyDescent="0.35">
      <c r="B6" s="73">
        <f>SUM(E6:M7)</f>
        <v>107860</v>
      </c>
      <c r="C6" s="74"/>
      <c r="D6" s="14"/>
      <c r="E6" s="14">
        <v>10810</v>
      </c>
      <c r="F6" s="14">
        <v>10100</v>
      </c>
      <c r="G6" s="14">
        <v>9870</v>
      </c>
      <c r="H6" s="14">
        <v>9720</v>
      </c>
      <c r="I6" s="14">
        <v>9390</v>
      </c>
      <c r="J6" s="14">
        <v>9350</v>
      </c>
      <c r="K6" s="30"/>
      <c r="N6" s="73">
        <f>SUM(Q6:U7)</f>
        <v>65860</v>
      </c>
      <c r="O6" s="74"/>
      <c r="P6" s="22"/>
      <c r="Q6" s="22">
        <v>10450</v>
      </c>
      <c r="R6" s="22">
        <v>10070</v>
      </c>
      <c r="S6" s="37">
        <v>9920</v>
      </c>
      <c r="T6" s="22">
        <v>9160</v>
      </c>
      <c r="U6" s="22"/>
      <c r="V6" s="46">
        <v>10310</v>
      </c>
      <c r="W6" s="30"/>
      <c r="X6" s="4"/>
    </row>
    <row r="7" spans="2:24" ht="15" thickBot="1" x14ac:dyDescent="0.35">
      <c r="B7" s="71"/>
      <c r="C7" s="72"/>
      <c r="D7" s="21"/>
      <c r="E7" s="13">
        <v>9130</v>
      </c>
      <c r="F7" s="17">
        <v>12710</v>
      </c>
      <c r="G7" s="13"/>
      <c r="H7" s="49">
        <v>9120</v>
      </c>
      <c r="I7" s="13">
        <v>8920</v>
      </c>
      <c r="J7" s="13">
        <v>8740</v>
      </c>
      <c r="K7" s="29"/>
      <c r="M7" t="s">
        <v>14</v>
      </c>
      <c r="N7" s="71"/>
      <c r="O7" s="72"/>
      <c r="P7" s="21"/>
      <c r="Q7" s="21"/>
      <c r="R7" s="21">
        <v>9410</v>
      </c>
      <c r="S7" s="21">
        <v>9850</v>
      </c>
      <c r="T7" s="21"/>
      <c r="U7" s="22">
        <v>7000</v>
      </c>
      <c r="V7" s="13"/>
      <c r="W7" s="29"/>
    </row>
    <row r="8" spans="2:24" x14ac:dyDescent="0.3">
      <c r="B8" s="63">
        <f>SUM(E8:M9)</f>
        <v>76560</v>
      </c>
      <c r="C8" s="64"/>
      <c r="D8" s="17"/>
      <c r="E8" s="17">
        <v>9280</v>
      </c>
      <c r="F8" s="17">
        <v>9170</v>
      </c>
      <c r="G8" s="23">
        <v>8980</v>
      </c>
      <c r="H8" s="23">
        <v>8940</v>
      </c>
      <c r="I8" s="23">
        <v>8820</v>
      </c>
      <c r="J8" s="17">
        <v>8700</v>
      </c>
      <c r="K8" s="18"/>
      <c r="N8" s="63">
        <f>SUM(R9:X10)</f>
        <v>38980</v>
      </c>
      <c r="O8" s="64"/>
      <c r="P8" s="17"/>
      <c r="Q8" s="23">
        <v>5330</v>
      </c>
      <c r="R8" s="23">
        <v>5100</v>
      </c>
      <c r="S8" s="23">
        <v>5310</v>
      </c>
      <c r="T8" s="23">
        <v>4010</v>
      </c>
      <c r="U8" s="23">
        <v>5000</v>
      </c>
      <c r="V8" s="23">
        <v>5030</v>
      </c>
      <c r="W8" s="18"/>
    </row>
    <row r="9" spans="2:24" ht="15" thickBot="1" x14ac:dyDescent="0.35">
      <c r="B9" s="55"/>
      <c r="C9" s="56"/>
      <c r="D9" s="9"/>
      <c r="E9" s="9"/>
      <c r="F9" s="12"/>
      <c r="G9" s="9"/>
      <c r="H9" s="48">
        <v>8280</v>
      </c>
      <c r="I9" s="12">
        <v>8150</v>
      </c>
      <c r="J9" s="9">
        <v>6240</v>
      </c>
      <c r="K9" s="32"/>
      <c r="N9" s="61"/>
      <c r="O9" s="62"/>
      <c r="P9" s="19"/>
      <c r="Q9" s="24">
        <v>6060</v>
      </c>
      <c r="R9" s="24">
        <v>5900</v>
      </c>
      <c r="S9" s="19"/>
      <c r="T9" s="24">
        <v>5110</v>
      </c>
      <c r="U9" s="24">
        <v>5040</v>
      </c>
      <c r="V9" s="4">
        <v>3090</v>
      </c>
      <c r="W9" s="20"/>
    </row>
    <row r="10" spans="2:24" ht="15" thickBot="1" x14ac:dyDescent="0.35">
      <c r="B10" s="43"/>
      <c r="C10" s="19"/>
      <c r="D10" s="19"/>
      <c r="E10" s="19"/>
      <c r="F10" s="19"/>
      <c r="G10" s="19"/>
      <c r="H10" s="19"/>
      <c r="I10" s="19"/>
      <c r="J10" s="19">
        <v>6220</v>
      </c>
      <c r="K10" s="20"/>
      <c r="N10" s="65">
        <f>SUM(R10:W11)</f>
        <v>30960</v>
      </c>
      <c r="O10" s="66"/>
      <c r="P10" s="39"/>
      <c r="Q10" s="23">
        <v>4990</v>
      </c>
      <c r="R10" s="23">
        <v>4900</v>
      </c>
      <c r="S10">
        <v>8020</v>
      </c>
      <c r="T10" s="23"/>
      <c r="U10" s="23">
        <v>3640</v>
      </c>
      <c r="V10" s="23">
        <v>3280</v>
      </c>
      <c r="W10" s="23"/>
    </row>
    <row r="11" spans="2:24" x14ac:dyDescent="0.3">
      <c r="B11" s="73">
        <f>SUM(E10:M11)</f>
        <v>56490</v>
      </c>
      <c r="C11" s="74"/>
      <c r="E11" s="23">
        <v>8780</v>
      </c>
      <c r="F11" s="22">
        <v>8750</v>
      </c>
      <c r="G11" s="14">
        <v>8660</v>
      </c>
      <c r="H11" s="14">
        <v>8370</v>
      </c>
      <c r="I11" s="22">
        <v>7820</v>
      </c>
      <c r="J11" s="22">
        <v>7890</v>
      </c>
      <c r="K11" s="30"/>
      <c r="N11" s="67"/>
      <c r="O11" s="68"/>
      <c r="P11" s="40"/>
      <c r="Q11" s="12">
        <v>4920</v>
      </c>
      <c r="R11" s="12">
        <v>5150</v>
      </c>
      <c r="T11" s="46"/>
      <c r="U11" s="50"/>
      <c r="V11" s="12">
        <v>2830</v>
      </c>
      <c r="W11" s="12">
        <v>3140</v>
      </c>
    </row>
    <row r="12" spans="2:24" ht="15" thickBot="1" x14ac:dyDescent="0.35">
      <c r="B12" s="44"/>
      <c r="C12" s="45"/>
      <c r="E12" s="9"/>
      <c r="F12" s="9"/>
      <c r="G12" s="9"/>
      <c r="H12" s="12">
        <v>7200</v>
      </c>
      <c r="I12" s="9"/>
      <c r="J12" s="9"/>
      <c r="K12" s="32"/>
      <c r="N12" s="69"/>
      <c r="O12" s="70"/>
      <c r="P12" s="41"/>
      <c r="Q12" s="24">
        <v>4870</v>
      </c>
      <c r="R12" s="19">
        <v>3980</v>
      </c>
      <c r="T12" s="24"/>
      <c r="U12" s="12">
        <v>3700</v>
      </c>
      <c r="V12" s="19"/>
      <c r="W12" s="24">
        <v>4280</v>
      </c>
    </row>
    <row r="13" spans="2:24" ht="15" thickBot="1" x14ac:dyDescent="0.35">
      <c r="B13" s="77">
        <f>SUM(E13:M14)</f>
        <v>36860</v>
      </c>
      <c r="C13" s="78"/>
      <c r="D13" s="25"/>
      <c r="E13" s="25">
        <v>10870</v>
      </c>
      <c r="F13" s="25">
        <v>9400</v>
      </c>
      <c r="G13" s="25">
        <v>8840</v>
      </c>
      <c r="H13" s="25">
        <v>5190</v>
      </c>
      <c r="I13" s="25">
        <v>2560</v>
      </c>
      <c r="J13" s="25"/>
      <c r="K13" s="26"/>
      <c r="N13" s="75">
        <f>SUM(Q13:W13)</f>
        <v>6510</v>
      </c>
      <c r="O13" s="76"/>
      <c r="P13" s="38"/>
      <c r="Q13" s="38"/>
      <c r="R13" s="38">
        <v>1390</v>
      </c>
      <c r="S13" s="38">
        <v>1140</v>
      </c>
      <c r="U13" s="38">
        <v>2140</v>
      </c>
      <c r="V13" s="38">
        <v>1390</v>
      </c>
      <c r="W13" s="38">
        <v>450</v>
      </c>
    </row>
    <row r="14" spans="2:24" x14ac:dyDescent="0.3">
      <c r="B14" s="2"/>
      <c r="C14" s="2"/>
      <c r="Q14" s="51"/>
      <c r="R14" s="46">
        <v>1120</v>
      </c>
      <c r="S14" s="46"/>
      <c r="T14" s="46">
        <v>1220</v>
      </c>
      <c r="U14" s="46">
        <v>1190</v>
      </c>
      <c r="V14" s="46">
        <v>1170</v>
      </c>
      <c r="W14" s="46">
        <v>1270</v>
      </c>
    </row>
    <row r="15" spans="2:24" ht="19.8" customHeight="1" thickBot="1" x14ac:dyDescent="0.35">
      <c r="B15" s="2"/>
      <c r="C15" s="2"/>
      <c r="N15" s="2"/>
      <c r="O15" s="2"/>
      <c r="P15" s="4"/>
      <c r="Q15" s="51">
        <v>1680</v>
      </c>
      <c r="R15" s="4">
        <v>970</v>
      </c>
      <c r="S15" s="4">
        <v>950</v>
      </c>
      <c r="T15" s="46">
        <v>1010</v>
      </c>
      <c r="U15" s="53">
        <v>480</v>
      </c>
      <c r="V15" s="4">
        <v>440</v>
      </c>
      <c r="W15" s="46">
        <v>470</v>
      </c>
    </row>
    <row r="16" spans="2:24" ht="14.4" customHeight="1" x14ac:dyDescent="0.55000000000000004">
      <c r="B16" s="15"/>
      <c r="C16" s="16"/>
      <c r="D16" s="17"/>
      <c r="E16" s="17"/>
      <c r="F16" s="58" t="s">
        <v>1</v>
      </c>
      <c r="G16" s="58"/>
      <c r="H16" s="58"/>
      <c r="I16" s="58"/>
      <c r="J16" s="58"/>
      <c r="K16" s="33"/>
      <c r="L16" s="1"/>
      <c r="N16" s="15"/>
      <c r="O16" s="16"/>
      <c r="P16" s="17"/>
      <c r="Q16" s="58" t="s">
        <v>3</v>
      </c>
      <c r="R16" s="58"/>
      <c r="S16" s="58"/>
      <c r="T16" s="58"/>
      <c r="U16" s="58"/>
      <c r="V16" s="28"/>
      <c r="W16" s="18"/>
    </row>
    <row r="17" spans="2:23" ht="12.6" customHeight="1" thickBot="1" x14ac:dyDescent="0.6">
      <c r="B17" s="71" t="s">
        <v>8</v>
      </c>
      <c r="C17" s="72"/>
      <c r="D17" s="21"/>
      <c r="E17" s="13"/>
      <c r="F17" s="59"/>
      <c r="G17" s="59"/>
      <c r="H17" s="59"/>
      <c r="I17" s="59"/>
      <c r="J17" s="59"/>
      <c r="K17" s="34"/>
      <c r="L17" s="1"/>
      <c r="N17" s="31"/>
      <c r="O17" s="11"/>
      <c r="P17" s="9"/>
      <c r="Q17" s="60"/>
      <c r="R17" s="60"/>
      <c r="S17" s="60"/>
      <c r="T17" s="60"/>
      <c r="U17" s="60"/>
      <c r="V17" s="10"/>
      <c r="W17" s="32"/>
    </row>
    <row r="18" spans="2:23" ht="15" thickBot="1" x14ac:dyDescent="0.35">
      <c r="B18" s="63">
        <f>SUM(E18:L19)</f>
        <v>62140</v>
      </c>
      <c r="C18" s="64"/>
      <c r="D18" s="17"/>
      <c r="E18" s="23">
        <v>7870</v>
      </c>
      <c r="F18" s="17">
        <v>7190</v>
      </c>
      <c r="G18" s="23">
        <v>7090</v>
      </c>
      <c r="H18" s="23">
        <v>6920</v>
      </c>
      <c r="I18" s="23">
        <v>6820</v>
      </c>
      <c r="J18" s="23">
        <v>6040</v>
      </c>
      <c r="K18" s="24">
        <v>6110</v>
      </c>
      <c r="N18" s="31" t="s">
        <v>8</v>
      </c>
      <c r="O18" s="11"/>
      <c r="P18" s="9">
        <v>2390</v>
      </c>
      <c r="Q18" s="5"/>
      <c r="R18" s="9">
        <v>6090</v>
      </c>
      <c r="S18" s="9">
        <v>6370</v>
      </c>
      <c r="T18" s="9">
        <v>10890</v>
      </c>
      <c r="U18" s="9">
        <v>3600</v>
      </c>
      <c r="V18" s="9"/>
      <c r="W18" s="32"/>
    </row>
    <row r="19" spans="2:23" ht="15" thickBot="1" x14ac:dyDescent="0.35">
      <c r="B19" s="61"/>
      <c r="C19" s="62"/>
      <c r="D19" s="19"/>
      <c r="E19" s="24"/>
      <c r="F19" s="19">
        <v>7590</v>
      </c>
      <c r="G19" s="24"/>
      <c r="H19" s="24"/>
      <c r="I19" s="52">
        <v>6510</v>
      </c>
      <c r="J19" s="19"/>
      <c r="K19" s="20"/>
      <c r="N19" s="55">
        <f>SUM(P18:W23)</f>
        <v>56460</v>
      </c>
      <c r="O19" s="56"/>
      <c r="P19" s="9">
        <v>2510</v>
      </c>
      <c r="Q19" s="9">
        <v>3010</v>
      </c>
      <c r="R19" s="9">
        <v>6470</v>
      </c>
      <c r="S19" s="9">
        <v>2910</v>
      </c>
      <c r="T19" s="9">
        <v>7040</v>
      </c>
      <c r="U19" s="9">
        <v>3820</v>
      </c>
      <c r="V19" s="9">
        <v>1360</v>
      </c>
      <c r="W19" s="32"/>
    </row>
    <row r="20" spans="2:23" x14ac:dyDescent="0.3">
      <c r="B20" s="73">
        <f>SUM(E20:L21)</f>
        <v>46910</v>
      </c>
      <c r="C20" s="74"/>
      <c r="D20" s="22"/>
      <c r="E20" s="22">
        <v>5990</v>
      </c>
      <c r="F20" s="22">
        <v>5980</v>
      </c>
      <c r="G20" s="22">
        <v>5730</v>
      </c>
      <c r="H20" s="22">
        <v>5520</v>
      </c>
      <c r="I20" s="22">
        <v>5380</v>
      </c>
      <c r="J20" s="22">
        <v>7680</v>
      </c>
      <c r="K20" s="30"/>
      <c r="L20" s="4"/>
      <c r="N20" s="42"/>
      <c r="O20" s="9"/>
      <c r="P20" s="9"/>
      <c r="Q20" s="9"/>
      <c r="R20" s="9"/>
      <c r="S20" s="9"/>
      <c r="T20" s="9"/>
      <c r="U20" s="9"/>
      <c r="V20" s="9"/>
      <c r="W20" s="32"/>
    </row>
    <row r="21" spans="2:23" ht="15" thickBot="1" x14ac:dyDescent="0.35">
      <c r="B21" s="71"/>
      <c r="C21" s="72"/>
      <c r="D21" s="21"/>
      <c r="E21" s="13"/>
      <c r="F21" s="13">
        <v>6260</v>
      </c>
      <c r="G21" s="13">
        <v>4370</v>
      </c>
      <c r="H21" s="13"/>
      <c r="I21" s="13"/>
      <c r="J21" s="21"/>
      <c r="K21" s="29"/>
      <c r="N21" s="42"/>
      <c r="O21" s="9"/>
      <c r="P21" s="9"/>
      <c r="Q21" s="9"/>
      <c r="R21" s="9"/>
      <c r="S21" s="9"/>
      <c r="T21" s="9"/>
      <c r="U21" s="9"/>
      <c r="V21" s="9"/>
      <c r="W21" s="32"/>
    </row>
    <row r="22" spans="2:23" x14ac:dyDescent="0.3">
      <c r="B22" s="63">
        <f>SUM(E22:L23)</f>
        <v>41770</v>
      </c>
      <c r="C22" s="64"/>
      <c r="D22" s="23"/>
      <c r="E22" s="17">
        <v>5020</v>
      </c>
      <c r="F22" s="17">
        <v>5010</v>
      </c>
      <c r="G22" s="23">
        <v>4930</v>
      </c>
      <c r="H22" s="23">
        <v>4750</v>
      </c>
      <c r="I22" s="23">
        <v>4120</v>
      </c>
      <c r="J22" s="23"/>
      <c r="K22" s="18"/>
      <c r="N22" s="42"/>
      <c r="O22" s="9"/>
      <c r="P22" s="9"/>
      <c r="Q22" s="9"/>
      <c r="R22" s="9"/>
      <c r="S22" s="9"/>
      <c r="T22" s="9"/>
      <c r="U22" s="9"/>
      <c r="V22" s="9"/>
      <c r="W22" s="32"/>
    </row>
    <row r="23" spans="2:23" ht="15" thickBot="1" x14ac:dyDescent="0.35">
      <c r="B23" s="61"/>
      <c r="C23" s="62"/>
      <c r="D23" s="24"/>
      <c r="E23" s="24">
        <v>4950</v>
      </c>
      <c r="F23" s="24">
        <v>4080</v>
      </c>
      <c r="G23" s="19"/>
      <c r="H23" s="24">
        <v>5010</v>
      </c>
      <c r="I23" s="24"/>
      <c r="J23" s="24">
        <v>3900</v>
      </c>
      <c r="K23" s="20"/>
      <c r="N23" s="43"/>
      <c r="O23" s="19"/>
      <c r="P23" s="19"/>
      <c r="Q23" s="19"/>
      <c r="R23" s="19"/>
      <c r="S23" s="19"/>
      <c r="T23" s="19"/>
      <c r="U23" s="19"/>
      <c r="V23" s="19"/>
      <c r="W23" s="20"/>
    </row>
    <row r="24" spans="2:23" x14ac:dyDescent="0.3">
      <c r="B24" s="73">
        <f>SUM(E24:L25)</f>
        <v>26180</v>
      </c>
      <c r="C24" s="74"/>
      <c r="D24" s="22"/>
      <c r="E24" s="22"/>
      <c r="F24" s="22"/>
      <c r="G24" s="22">
        <v>3520</v>
      </c>
      <c r="H24" s="22">
        <v>2170</v>
      </c>
      <c r="I24" s="22">
        <v>3150</v>
      </c>
      <c r="J24" s="22"/>
      <c r="K24" s="30"/>
    </row>
    <row r="25" spans="2:23" x14ac:dyDescent="0.3">
      <c r="B25" s="55"/>
      <c r="C25" s="56"/>
      <c r="D25" s="12"/>
      <c r="E25" s="9">
        <v>3930</v>
      </c>
      <c r="F25" s="12">
        <v>3740</v>
      </c>
      <c r="G25" s="12">
        <v>3590</v>
      </c>
      <c r="H25" s="12">
        <v>3330</v>
      </c>
      <c r="I25" s="12"/>
      <c r="J25" s="12">
        <v>2750</v>
      </c>
      <c r="K25" s="32"/>
    </row>
    <row r="26" spans="2:23" ht="15" thickBot="1" x14ac:dyDescent="0.35">
      <c r="B26" s="71"/>
      <c r="C26" s="72"/>
      <c r="D26" s="21"/>
      <c r="E26" s="21"/>
      <c r="F26" s="21">
        <v>3480</v>
      </c>
      <c r="G26" s="21"/>
      <c r="H26" s="13"/>
      <c r="I26" s="13">
        <v>3260</v>
      </c>
      <c r="J26" s="21"/>
      <c r="K26" s="29"/>
      <c r="W26" t="s">
        <v>13</v>
      </c>
    </row>
    <row r="27" spans="2:23" ht="15" thickBot="1" x14ac:dyDescent="0.35">
      <c r="B27" s="77">
        <f>SUM(E27:L28)</f>
        <v>6520</v>
      </c>
      <c r="C27" s="78"/>
      <c r="D27" s="25"/>
      <c r="E27" s="25">
        <v>1590</v>
      </c>
      <c r="F27" s="25">
        <v>1780</v>
      </c>
      <c r="G27" s="25">
        <v>1770</v>
      </c>
      <c r="H27" s="25">
        <v>1380</v>
      </c>
      <c r="I27" s="25"/>
      <c r="J27" s="25"/>
      <c r="K27" s="26"/>
    </row>
    <row r="28" spans="2:23" x14ac:dyDescent="0.3">
      <c r="B28" s="2"/>
      <c r="C28" s="2"/>
    </row>
    <row r="29" spans="2:23" ht="14.4" customHeight="1" x14ac:dyDescent="0.3"/>
    <row r="44" ht="14.4" customHeight="1" x14ac:dyDescent="0.3"/>
    <row r="45" ht="14.4" customHeight="1" x14ac:dyDescent="0.3"/>
    <row r="51" spans="4:15" ht="27" x14ac:dyDescent="0.5">
      <c r="D51" s="54" t="s">
        <v>4</v>
      </c>
      <c r="E51" s="3"/>
      <c r="F51" s="54">
        <f>SUM(B4:C13)</f>
        <v>348960</v>
      </c>
      <c r="G51" s="54"/>
      <c r="H51" s="54"/>
      <c r="I51" s="3"/>
      <c r="J51" s="54" t="s">
        <v>9</v>
      </c>
      <c r="K51" s="54"/>
      <c r="L51" s="54"/>
      <c r="M51" s="3"/>
      <c r="N51" s="54">
        <f>COUNT(E4:M12)</f>
        <v>34</v>
      </c>
      <c r="O51" s="54"/>
    </row>
    <row r="52" spans="4:15" ht="22.2" customHeight="1" x14ac:dyDescent="0.5">
      <c r="D52" s="54"/>
      <c r="E52" s="3"/>
      <c r="F52" s="54"/>
      <c r="G52" s="54"/>
      <c r="H52" s="54"/>
      <c r="I52" s="3"/>
      <c r="J52" s="54"/>
      <c r="K52" s="54"/>
      <c r="L52" s="54"/>
      <c r="M52" s="3"/>
      <c r="N52" s="54"/>
      <c r="O52" s="54"/>
    </row>
    <row r="53" spans="4:15" ht="27" x14ac:dyDescent="0.5"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4:15" ht="27" x14ac:dyDescent="0.5">
      <c r="D54" s="54" t="s">
        <v>5</v>
      </c>
      <c r="E54" s="3"/>
      <c r="F54" s="54">
        <f>SUM(B18:C27)</f>
        <v>183520</v>
      </c>
      <c r="G54" s="54"/>
      <c r="H54" s="54"/>
      <c r="I54" s="3"/>
      <c r="J54" s="54" t="s">
        <v>9</v>
      </c>
      <c r="K54" s="54"/>
      <c r="L54" s="54"/>
      <c r="M54" s="3"/>
      <c r="N54" s="54">
        <f>COUNT(E18:K27)</f>
        <v>40</v>
      </c>
      <c r="O54" s="54"/>
    </row>
    <row r="55" spans="4:15" ht="27" x14ac:dyDescent="0.5">
      <c r="D55" s="54"/>
      <c r="E55" s="3"/>
      <c r="F55" s="54"/>
      <c r="G55" s="54"/>
      <c r="H55" s="54"/>
      <c r="I55" s="3"/>
      <c r="J55" s="54"/>
      <c r="K55" s="54"/>
      <c r="L55" s="54"/>
      <c r="M55" s="3"/>
      <c r="N55" s="54"/>
      <c r="O55" s="54"/>
    </row>
    <row r="56" spans="4:15" ht="21" customHeight="1" x14ac:dyDescent="0.5"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4:15" ht="22.8" customHeight="1" x14ac:dyDescent="0.5">
      <c r="D57" s="54" t="s">
        <v>6</v>
      </c>
      <c r="E57" s="3"/>
      <c r="F57" s="54">
        <f>SUM(N4:O13)</f>
        <v>170660</v>
      </c>
      <c r="G57" s="54"/>
      <c r="H57" s="54"/>
      <c r="I57" s="3"/>
      <c r="J57" s="54" t="s">
        <v>9</v>
      </c>
      <c r="K57" s="54"/>
      <c r="L57" s="54"/>
      <c r="M57" s="3"/>
      <c r="N57" s="54">
        <f>COUNT(Q4:W15)</f>
        <v>55</v>
      </c>
      <c r="O57" s="54"/>
    </row>
    <row r="58" spans="4:15" ht="22.2" customHeight="1" x14ac:dyDescent="0.5">
      <c r="D58" s="54"/>
      <c r="E58" s="3"/>
      <c r="F58" s="54"/>
      <c r="G58" s="54"/>
      <c r="H58" s="54"/>
      <c r="I58" s="3"/>
      <c r="J58" s="54"/>
      <c r="K58" s="54"/>
      <c r="L58" s="54"/>
      <c r="M58" s="3"/>
      <c r="N58" s="54"/>
      <c r="O58" s="54"/>
    </row>
    <row r="59" spans="4:15" ht="20.399999999999999" customHeight="1" x14ac:dyDescent="0.5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4:15" ht="19.8" customHeight="1" x14ac:dyDescent="0.5">
      <c r="D60" s="54" t="s">
        <v>7</v>
      </c>
      <c r="E60" s="3"/>
      <c r="F60" s="54">
        <f>SUM(N19:O20)</f>
        <v>56460</v>
      </c>
      <c r="G60" s="54"/>
      <c r="H60" s="54"/>
      <c r="I60" s="3"/>
      <c r="J60" s="54" t="s">
        <v>9</v>
      </c>
      <c r="K60" s="54"/>
      <c r="L60" s="54"/>
      <c r="M60" s="3"/>
      <c r="N60" s="54">
        <f>COUNT(P18:W23)</f>
        <v>12</v>
      </c>
      <c r="O60" s="54"/>
    </row>
    <row r="61" spans="4:15" ht="23.4" customHeight="1" x14ac:dyDescent="0.5">
      <c r="D61" s="54"/>
      <c r="E61" s="3"/>
      <c r="F61" s="54"/>
      <c r="G61" s="54"/>
      <c r="H61" s="54"/>
      <c r="I61" s="3"/>
      <c r="J61" s="54"/>
      <c r="K61" s="54"/>
      <c r="L61" s="54"/>
      <c r="M61" s="3"/>
      <c r="N61" s="54"/>
      <c r="O61" s="54"/>
    </row>
    <row r="63" spans="4:15" x14ac:dyDescent="0.3">
      <c r="E63" s="57" t="s">
        <v>10</v>
      </c>
      <c r="F63" s="57"/>
      <c r="G63" s="57"/>
    </row>
    <row r="64" spans="4:15" x14ac:dyDescent="0.3">
      <c r="E64" s="6" t="s">
        <v>6</v>
      </c>
      <c r="F64" s="6"/>
      <c r="G64" s="6"/>
    </row>
    <row r="65" spans="5:7" x14ac:dyDescent="0.3">
      <c r="E65" s="6" t="s">
        <v>6</v>
      </c>
      <c r="F65" s="6"/>
      <c r="G65" s="6">
        <v>4000</v>
      </c>
    </row>
    <row r="66" spans="5:7" x14ac:dyDescent="0.3">
      <c r="E66" s="6" t="s">
        <v>6</v>
      </c>
      <c r="F66" s="6"/>
      <c r="G66" s="6">
        <v>3940</v>
      </c>
    </row>
    <row r="67" spans="5:7" x14ac:dyDescent="0.3">
      <c r="E67" s="57" t="s">
        <v>11</v>
      </c>
      <c r="F67" s="57"/>
      <c r="G67" s="57"/>
    </row>
    <row r="68" spans="5:7" x14ac:dyDescent="0.3">
      <c r="E68" s="6" t="s">
        <v>5</v>
      </c>
      <c r="F68" s="7">
        <v>2</v>
      </c>
      <c r="G68" s="8">
        <v>4280</v>
      </c>
    </row>
    <row r="69" spans="5:7" x14ac:dyDescent="0.3">
      <c r="E69" s="57" t="s">
        <v>12</v>
      </c>
      <c r="F69" s="57"/>
      <c r="G69" s="57"/>
    </row>
  </sheetData>
  <mergeCells count="53">
    <mergeCell ref="D60:D61"/>
    <mergeCell ref="F51:H52"/>
    <mergeCell ref="F54:H55"/>
    <mergeCell ref="F57:H58"/>
    <mergeCell ref="F60:H61"/>
    <mergeCell ref="D51:D52"/>
    <mergeCell ref="D54:D55"/>
    <mergeCell ref="D57:D58"/>
    <mergeCell ref="B17:C17"/>
    <mergeCell ref="B8:C8"/>
    <mergeCell ref="B9:C9"/>
    <mergeCell ref="B11:C11"/>
    <mergeCell ref="B13:C13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24:C24"/>
    <mergeCell ref="B3:C3"/>
    <mergeCell ref="B4:C4"/>
    <mergeCell ref="B5:C5"/>
    <mergeCell ref="B6:C6"/>
    <mergeCell ref="B7:C7"/>
    <mergeCell ref="Q2:U3"/>
    <mergeCell ref="F2:J3"/>
    <mergeCell ref="F16:J17"/>
    <mergeCell ref="Q16:U17"/>
    <mergeCell ref="N9:O9"/>
    <mergeCell ref="N4:O4"/>
    <mergeCell ref="N10:O12"/>
    <mergeCell ref="N3:O3"/>
    <mergeCell ref="N5:O5"/>
    <mergeCell ref="N6:O6"/>
    <mergeCell ref="N7:O7"/>
    <mergeCell ref="N8:O8"/>
    <mergeCell ref="N13:O13"/>
    <mergeCell ref="E63:G63"/>
    <mergeCell ref="E67:G67"/>
    <mergeCell ref="E69:G69"/>
    <mergeCell ref="J51:L52"/>
    <mergeCell ref="J54:L55"/>
    <mergeCell ref="J57:L58"/>
    <mergeCell ref="J60:L61"/>
    <mergeCell ref="N54:O55"/>
    <mergeCell ref="N57:O58"/>
    <mergeCell ref="N60:O61"/>
    <mergeCell ref="N19:O19"/>
    <mergeCell ref="N51:O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dcterms:created xsi:type="dcterms:W3CDTF">2025-09-08T13:27:45Z</dcterms:created>
  <dcterms:modified xsi:type="dcterms:W3CDTF">2026-05-20T01:56:36Z</dcterms:modified>
</cp:coreProperties>
</file>