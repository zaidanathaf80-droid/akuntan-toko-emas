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a\LAPORAN KEUANGAN\ETALASE\"/>
    </mc:Choice>
  </mc:AlternateContent>
  <xr:revisionPtr revIDLastSave="0" documentId="13_ncr:1_{F9361653-0490-4611-87F2-ADB1F8771768}" xr6:coauthVersionLast="47" xr6:coauthVersionMax="47" xr10:uidLastSave="{00000000-0000-0000-0000-000000000000}"/>
  <bookViews>
    <workbookView xWindow="-108" yWindow="-108" windowWidth="23256" windowHeight="12456" xr2:uid="{2413622E-2E95-478B-9BB1-0D3D8C8C1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31" i="1"/>
  <c r="B36" i="1"/>
  <c r="B34" i="1"/>
  <c r="M3" i="1"/>
  <c r="B4" i="1"/>
  <c r="B8" i="1"/>
  <c r="B10" i="1"/>
  <c r="B20" i="1"/>
  <c r="B22" i="1"/>
  <c r="N49" i="1"/>
  <c r="B29" i="1" l="1"/>
  <c r="F49" i="1" l="1"/>
  <c r="B13" i="1"/>
  <c r="F52" i="1"/>
  <c r="N52" i="1"/>
  <c r="N46" i="1"/>
  <c r="N43" i="1"/>
  <c r="B6" i="1"/>
  <c r="F46" i="1" l="1"/>
  <c r="F43" i="1" l="1"/>
</calcChain>
</file>

<file path=xl/sharedStrings.xml><?xml version="1.0" encoding="utf-8"?>
<sst xmlns="http://schemas.openxmlformats.org/spreadsheetml/2006/main" count="22" uniqueCount="16">
  <si>
    <t>Gelang 16 K (I)</t>
  </si>
  <si>
    <r>
      <t>Kalung 9k (</t>
    </r>
    <r>
      <rPr>
        <sz val="22"/>
        <color rgb="FFFF0000"/>
        <rFont val="Calibri"/>
        <family val="2"/>
        <scheme val="minor"/>
      </rPr>
      <t>K)</t>
    </r>
  </si>
  <si>
    <t>I</t>
  </si>
  <si>
    <t>J</t>
  </si>
  <si>
    <t>K</t>
  </si>
  <si>
    <t>L</t>
  </si>
  <si>
    <t>TOTAL</t>
  </si>
  <si>
    <t>jumlah</t>
  </si>
  <si>
    <r>
      <t>Kalung 9K (</t>
    </r>
    <r>
      <rPr>
        <sz val="22"/>
        <color rgb="FFFF0000"/>
        <rFont val="Calibri"/>
        <family val="2"/>
        <scheme val="minor"/>
      </rPr>
      <t>J)</t>
    </r>
  </si>
  <si>
    <t xml:space="preserve"> </t>
  </si>
  <si>
    <r>
      <t xml:space="preserve">GELANG R.9K </t>
    </r>
    <r>
      <rPr>
        <sz val="16"/>
        <color rgb="FFFF0000"/>
        <rFont val="Calibri"/>
        <family val="2"/>
        <scheme val="minor"/>
      </rPr>
      <t>(L)</t>
    </r>
  </si>
  <si>
    <t>ANAK</t>
  </si>
  <si>
    <t>ITALI</t>
  </si>
  <si>
    <t>TMPR</t>
  </si>
  <si>
    <t>MLNO</t>
  </si>
  <si>
    <t>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</si>
</sst>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5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2" xfId="0" applyBorder="1"/>
    <xf numFmtId="0" fontId="4" fillId="0" borderId="2" xfId="0" applyFont="1" applyBorder="1"/>
    <xf numFmtId="0" fontId="3" fillId="0" borderId="2" xfId="0" applyFont="1" applyBorder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2" borderId="2" xfId="0" applyFill="1" applyBorder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0" fillId="0" borderId="5" xfId="0" applyBorder="1"/>
    <xf numFmtId="0" fontId="5" fillId="0" borderId="6" xfId="0" applyFont="1" applyBorder="1" applyAlignment="1">
      <alignment horizontal="center" vertical="center"/>
    </xf>
    <xf numFmtId="0" fontId="0" fillId="0" borderId="7" xfId="0" applyBorder="1"/>
    <xf numFmtId="0" fontId="0" fillId="2" borderId="7" xfId="0" applyFill="1" applyBorder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9" xfId="0" applyBorder="1"/>
    <xf numFmtId="0" fontId="0" fillId="2" borderId="9" xfId="0" applyFill="1" applyBorder="1"/>
    <xf numFmtId="0" fontId="0" fillId="2" borderId="10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2" xfId="0" applyFill="1" applyBorder="1"/>
    <xf numFmtId="0" fontId="0" fillId="2" borderId="11" xfId="0" applyFill="1" applyBorder="1"/>
    <xf numFmtId="0" fontId="0" fillId="2" borderId="4" xfId="0" applyFill="1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2" borderId="18" xfId="0" applyFill="1" applyBorder="1"/>
    <xf numFmtId="0" fontId="0" fillId="0" borderId="19" xfId="0" applyBorder="1"/>
    <xf numFmtId="0" fontId="0" fillId="0" borderId="20" xfId="0" applyBorder="1"/>
    <xf numFmtId="0" fontId="5" fillId="0" borderId="6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2" borderId="20" xfId="0" applyFill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FFA9-3704-4CB3-B10E-9881487C6E28}">
  <dimension ref="B1:X53"/>
  <sheetViews>
    <sheetView tabSelected="1" zoomScale="46" zoomScaleNormal="145" workbookViewId="0">
      <selection activeCell="AI37" sqref="AI37"/>
    </sheetView>
  </sheetViews>
  <sheetFormatPr defaultRowHeight="14.4" x14ac:dyDescent="0.3"/>
  <cols>
    <col min="1" max="1" width="16.109375" customWidth="1"/>
    <col min="2" max="3" width="6.21875" style="6" customWidth="1"/>
    <col min="4" max="13" width="6.21875" customWidth="1"/>
  </cols>
  <sheetData>
    <row r="1" spans="2:24" ht="14.4" customHeight="1" thickBot="1" x14ac:dyDescent="0.35">
      <c r="B1" s="7"/>
      <c r="C1" s="7"/>
      <c r="F1" s="1"/>
      <c r="G1" s="1"/>
      <c r="L1" s="1"/>
    </row>
    <row r="2" spans="2:24" ht="14.4" customHeight="1" x14ac:dyDescent="0.55000000000000004">
      <c r="B2" s="11"/>
      <c r="C2" s="12"/>
      <c r="D2" s="13"/>
      <c r="E2" s="43" t="s">
        <v>0</v>
      </c>
      <c r="F2" s="43"/>
      <c r="G2" s="43"/>
      <c r="H2" s="43"/>
      <c r="I2" s="13"/>
      <c r="J2" s="13"/>
      <c r="K2" s="15"/>
      <c r="M2" s="47" t="s">
        <v>6</v>
      </c>
      <c r="N2" s="48"/>
      <c r="O2" s="13"/>
      <c r="P2" s="13"/>
      <c r="Q2" s="45" t="s">
        <v>10</v>
      </c>
      <c r="R2" s="45"/>
      <c r="S2" s="45"/>
      <c r="T2" s="45"/>
      <c r="U2" s="45"/>
      <c r="V2" s="14"/>
      <c r="W2" s="14"/>
      <c r="X2" s="15"/>
    </row>
    <row r="3" spans="2:24" ht="17.399999999999999" customHeight="1" thickBot="1" x14ac:dyDescent="0.35">
      <c r="B3" s="53" t="s">
        <v>6</v>
      </c>
      <c r="C3" s="54"/>
      <c r="D3" s="25"/>
      <c r="E3" s="46"/>
      <c r="F3" s="46"/>
      <c r="G3" s="46"/>
      <c r="H3" s="46"/>
      <c r="I3" s="25"/>
      <c r="J3" s="25"/>
      <c r="K3" s="30"/>
      <c r="M3" s="36">
        <f>SUM(P3:Y5)</f>
        <v>67900</v>
      </c>
      <c r="N3" s="37" t="s">
        <v>15</v>
      </c>
      <c r="P3" s="10">
        <v>1100</v>
      </c>
      <c r="Q3" s="2">
        <v>1940</v>
      </c>
      <c r="R3" s="2">
        <v>2000</v>
      </c>
      <c r="S3" s="2">
        <v>2050</v>
      </c>
      <c r="T3" s="10">
        <v>3930</v>
      </c>
      <c r="U3" s="2">
        <v>3950</v>
      </c>
      <c r="V3" s="2">
        <v>4010</v>
      </c>
      <c r="W3" s="35">
        <v>4180</v>
      </c>
      <c r="X3" s="35">
        <v>4260</v>
      </c>
    </row>
    <row r="4" spans="2:24" ht="15" thickBot="1" x14ac:dyDescent="0.35">
      <c r="B4" s="47">
        <f>SUM(F4:J5)</f>
        <v>93050</v>
      </c>
      <c r="C4" s="48"/>
      <c r="E4" s="13">
        <v>13460</v>
      </c>
      <c r="F4" s="13">
        <v>16490</v>
      </c>
      <c r="G4" s="13">
        <v>15760</v>
      </c>
      <c r="H4" s="13">
        <v>13410</v>
      </c>
      <c r="I4" s="26">
        <v>11940</v>
      </c>
      <c r="J4" s="13">
        <v>12540</v>
      </c>
      <c r="K4" s="15"/>
      <c r="M4" s="16"/>
      <c r="N4" s="8"/>
      <c r="O4" s="8"/>
    </row>
    <row r="5" spans="2:24" ht="15" thickBot="1" x14ac:dyDescent="0.35">
      <c r="B5" s="49"/>
      <c r="C5" s="50"/>
      <c r="E5" s="21">
        <v>5030</v>
      </c>
      <c r="F5" s="21"/>
      <c r="G5" s="21"/>
      <c r="H5" s="13">
        <v>12920</v>
      </c>
      <c r="I5" s="25">
        <v>9990</v>
      </c>
      <c r="J5" s="21"/>
      <c r="K5" s="24"/>
      <c r="M5" s="19"/>
      <c r="N5" s="20"/>
      <c r="O5" s="20"/>
      <c r="P5" s="2">
        <v>4480</v>
      </c>
      <c r="Q5" s="2">
        <v>6040</v>
      </c>
      <c r="R5" s="2">
        <v>6070</v>
      </c>
      <c r="S5" s="2">
        <v>6980</v>
      </c>
      <c r="T5" s="2">
        <v>7000</v>
      </c>
      <c r="U5" s="10">
        <v>9910</v>
      </c>
      <c r="V5" s="35"/>
      <c r="W5" s="2"/>
      <c r="X5" s="2"/>
    </row>
    <row r="6" spans="2:24" x14ac:dyDescent="0.3">
      <c r="B6" s="51">
        <f>SUM(H6:J7)</f>
        <v>58890</v>
      </c>
      <c r="C6" s="52"/>
      <c r="D6" s="26"/>
      <c r="E6" s="13">
        <v>9520</v>
      </c>
      <c r="F6" s="26">
        <v>11300</v>
      </c>
      <c r="G6" s="26">
        <v>10240</v>
      </c>
      <c r="H6" s="26">
        <v>10570</v>
      </c>
      <c r="I6" s="26">
        <v>9840</v>
      </c>
      <c r="J6" s="26">
        <v>10020</v>
      </c>
    </row>
    <row r="7" spans="2:24" ht="15" thickBot="1" x14ac:dyDescent="0.35">
      <c r="B7" s="53"/>
      <c r="C7" s="54"/>
      <c r="D7" s="25"/>
      <c r="E7" s="21">
        <v>9370</v>
      </c>
      <c r="F7" s="25"/>
      <c r="G7" s="25">
        <v>11180</v>
      </c>
      <c r="H7" s="25">
        <v>9000</v>
      </c>
      <c r="I7" s="25">
        <v>9800</v>
      </c>
      <c r="J7" s="25">
        <v>9660</v>
      </c>
    </row>
    <row r="8" spans="2:24" x14ac:dyDescent="0.3">
      <c r="B8" s="47">
        <f>SUM(E8:L9)</f>
        <v>72940</v>
      </c>
      <c r="C8" s="48"/>
      <c r="D8" s="13"/>
      <c r="E8" s="13">
        <v>8000</v>
      </c>
      <c r="F8" s="66">
        <v>8110</v>
      </c>
      <c r="G8" s="13">
        <v>7210</v>
      </c>
      <c r="H8" s="13">
        <v>9110</v>
      </c>
      <c r="I8" s="13">
        <v>8120</v>
      </c>
      <c r="J8" s="13">
        <v>8000</v>
      </c>
      <c r="K8" s="15"/>
    </row>
    <row r="9" spans="2:24" ht="15" thickBot="1" x14ac:dyDescent="0.35">
      <c r="B9" s="49"/>
      <c r="C9" s="50"/>
      <c r="D9" s="21"/>
      <c r="E9" s="21">
        <v>8070</v>
      </c>
      <c r="G9" s="21">
        <v>8400</v>
      </c>
      <c r="H9" s="21"/>
      <c r="I9" s="21">
        <v>7920</v>
      </c>
      <c r="J9" s="21"/>
      <c r="K9" s="24"/>
    </row>
    <row r="10" spans="2:24" x14ac:dyDescent="0.3">
      <c r="B10" s="51">
        <f>SUM(E10:M12)</f>
        <v>60540</v>
      </c>
      <c r="C10" s="52"/>
      <c r="D10" s="26"/>
      <c r="E10" s="27">
        <v>7170</v>
      </c>
      <c r="F10" s="26">
        <v>3990</v>
      </c>
      <c r="G10" s="27">
        <v>4890</v>
      </c>
      <c r="H10" s="27">
        <v>4560</v>
      </c>
      <c r="I10" s="27">
        <v>3970</v>
      </c>
      <c r="J10" s="27">
        <v>3270</v>
      </c>
      <c r="K10" s="31"/>
    </row>
    <row r="11" spans="2:24" x14ac:dyDescent="0.3">
      <c r="B11" s="55"/>
      <c r="C11" s="56"/>
      <c r="D11" s="2"/>
      <c r="E11" s="2">
        <v>6670</v>
      </c>
      <c r="F11" s="10">
        <v>6540</v>
      </c>
      <c r="G11" s="10">
        <v>5030</v>
      </c>
      <c r="H11" s="10"/>
      <c r="I11" s="35">
        <v>4060</v>
      </c>
      <c r="J11" s="10">
        <v>3250</v>
      </c>
      <c r="K11" s="17"/>
    </row>
    <row r="12" spans="2:24" ht="15" thickBot="1" x14ac:dyDescent="0.35">
      <c r="B12" s="53"/>
      <c r="C12" s="54"/>
      <c r="D12" s="25"/>
      <c r="E12" s="25"/>
      <c r="F12" s="28"/>
      <c r="G12" s="28"/>
      <c r="H12" s="28"/>
      <c r="I12" s="10">
        <v>3900</v>
      </c>
      <c r="J12" s="28">
        <v>3240</v>
      </c>
      <c r="K12" s="30"/>
    </row>
    <row r="13" spans="2:24" x14ac:dyDescent="0.3">
      <c r="B13" s="47">
        <f>SUM(E12:P14)</f>
        <v>65470</v>
      </c>
      <c r="C13" s="48"/>
      <c r="D13" s="13"/>
      <c r="E13" s="13">
        <v>6990</v>
      </c>
      <c r="F13" s="29">
        <v>5810</v>
      </c>
      <c r="G13" s="29">
        <v>5010</v>
      </c>
      <c r="H13" s="29">
        <v>4070</v>
      </c>
      <c r="I13" s="29">
        <v>4010</v>
      </c>
      <c r="J13" s="29">
        <v>3070</v>
      </c>
      <c r="K13" s="15"/>
    </row>
    <row r="14" spans="2:24" x14ac:dyDescent="0.3">
      <c r="B14" s="55"/>
      <c r="C14" s="56"/>
      <c r="D14" s="2"/>
      <c r="E14" s="2">
        <v>6840</v>
      </c>
      <c r="F14" s="10">
        <v>5970</v>
      </c>
      <c r="G14" s="10">
        <v>4860</v>
      </c>
      <c r="H14" s="10">
        <v>4080</v>
      </c>
      <c r="I14" s="10">
        <v>3730</v>
      </c>
      <c r="J14" s="10">
        <v>3890</v>
      </c>
      <c r="K14" s="17"/>
    </row>
    <row r="15" spans="2:24" ht="15" thickBot="1" x14ac:dyDescent="0.35">
      <c r="B15" s="49"/>
      <c r="C15" s="50"/>
      <c r="D15" s="21"/>
      <c r="E15" s="21">
        <v>6920</v>
      </c>
      <c r="F15" s="21">
        <v>6030</v>
      </c>
      <c r="G15" s="21"/>
      <c r="H15" s="21">
        <v>4050</v>
      </c>
      <c r="I15" s="21">
        <v>4050</v>
      </c>
      <c r="J15" s="21"/>
      <c r="K15" s="24"/>
    </row>
    <row r="16" spans="2:24" ht="15" thickBot="1" x14ac:dyDescent="0.35">
      <c r="B16" s="58">
        <f>SUM(E16:K16)</f>
        <v>7660</v>
      </c>
      <c r="C16" s="59"/>
      <c r="D16" s="32"/>
      <c r="E16" s="32"/>
      <c r="F16" s="32"/>
      <c r="G16" s="32"/>
      <c r="H16" s="33">
        <v>4670</v>
      </c>
      <c r="I16" s="33">
        <v>2990</v>
      </c>
      <c r="J16" s="33"/>
      <c r="K16" s="34"/>
    </row>
    <row r="17" spans="2:24" ht="14.4" customHeight="1" thickBot="1" x14ac:dyDescent="0.6">
      <c r="K17" s="5"/>
    </row>
    <row r="18" spans="2:24" ht="14.4" customHeight="1" x14ac:dyDescent="0.3">
      <c r="B18" s="11"/>
      <c r="C18" s="38"/>
      <c r="D18" s="39"/>
      <c r="E18" s="13"/>
      <c r="F18" s="13"/>
      <c r="G18" s="13"/>
      <c r="H18" s="13"/>
      <c r="I18" s="13"/>
      <c r="J18" s="43" t="s">
        <v>8</v>
      </c>
      <c r="K18" s="43"/>
      <c r="L18" s="43"/>
      <c r="M18" s="43"/>
      <c r="N18" s="43"/>
      <c r="O18" s="13"/>
      <c r="P18" s="13"/>
      <c r="Q18" s="13"/>
      <c r="R18" s="13"/>
      <c r="S18" s="13"/>
      <c r="T18" s="13"/>
      <c r="U18" s="13"/>
      <c r="V18" s="13"/>
      <c r="W18" s="13"/>
      <c r="X18" s="15"/>
    </row>
    <row r="19" spans="2:24" ht="17.399999999999999" customHeight="1" x14ac:dyDescent="0.3">
      <c r="B19" s="55" t="s">
        <v>6</v>
      </c>
      <c r="C19" s="60"/>
      <c r="D19" s="40"/>
      <c r="E19" s="2"/>
      <c r="F19" s="2"/>
      <c r="G19" s="2"/>
      <c r="H19" s="2"/>
      <c r="I19" s="2"/>
      <c r="J19" s="44"/>
      <c r="K19" s="44"/>
      <c r="L19" s="44"/>
      <c r="M19" s="44"/>
      <c r="N19" s="44"/>
      <c r="O19" s="2"/>
      <c r="P19" s="2"/>
      <c r="Q19" s="2"/>
      <c r="R19" s="2"/>
      <c r="S19" s="2"/>
      <c r="T19" s="2"/>
      <c r="U19" s="2"/>
      <c r="V19" s="2"/>
      <c r="W19" s="2"/>
      <c r="X19" s="17"/>
    </row>
    <row r="20" spans="2:24" x14ac:dyDescent="0.3">
      <c r="B20" s="55">
        <f>SUM(E20:K20)</f>
        <v>0</v>
      </c>
      <c r="C20" s="60"/>
      <c r="D20" s="4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7"/>
    </row>
    <row r="21" spans="2:24" x14ac:dyDescent="0.3">
      <c r="B21" s="55"/>
      <c r="C21" s="60"/>
      <c r="D21" s="40"/>
      <c r="E21" s="2">
        <v>2870</v>
      </c>
      <c r="F21" s="10">
        <v>2460</v>
      </c>
      <c r="G21" s="10">
        <v>2720</v>
      </c>
      <c r="H21" s="10">
        <v>2930</v>
      </c>
      <c r="I21" s="2">
        <v>3860</v>
      </c>
      <c r="J21" s="2">
        <v>3840</v>
      </c>
      <c r="K21" s="2">
        <v>3960</v>
      </c>
      <c r="L21" s="2">
        <v>4010</v>
      </c>
      <c r="M21" s="2">
        <v>4050</v>
      </c>
      <c r="N21" s="2">
        <v>4220</v>
      </c>
      <c r="O21" s="2">
        <v>4480</v>
      </c>
      <c r="P21" s="2">
        <v>4680</v>
      </c>
      <c r="Q21" s="2">
        <v>4810</v>
      </c>
      <c r="R21" s="2">
        <v>5190</v>
      </c>
      <c r="S21" s="10">
        <v>6790</v>
      </c>
      <c r="T21" s="10">
        <v>8140</v>
      </c>
      <c r="U21" s="2">
        <v>9710</v>
      </c>
      <c r="V21" s="2"/>
      <c r="W21" s="2"/>
      <c r="X21" s="17"/>
    </row>
    <row r="22" spans="2:24" x14ac:dyDescent="0.3">
      <c r="B22" s="55">
        <f>SUM(E21:T22)</f>
        <v>162120</v>
      </c>
      <c r="C22" s="60"/>
      <c r="D22" s="40"/>
      <c r="E22" s="2">
        <v>9850</v>
      </c>
      <c r="F22" s="2">
        <v>8040</v>
      </c>
      <c r="G22" s="10">
        <v>8030</v>
      </c>
      <c r="H22" s="2">
        <v>7590</v>
      </c>
      <c r="I22" s="10">
        <v>7330</v>
      </c>
      <c r="J22" s="10">
        <v>6050</v>
      </c>
      <c r="K22" s="10">
        <v>5890</v>
      </c>
      <c r="L22" s="10">
        <v>5850</v>
      </c>
      <c r="M22" s="10">
        <v>5210</v>
      </c>
      <c r="N22" s="10">
        <v>5010</v>
      </c>
      <c r="O22" s="10">
        <v>5000</v>
      </c>
      <c r="P22" s="2">
        <v>4980</v>
      </c>
      <c r="Q22" s="10">
        <v>4100</v>
      </c>
      <c r="R22" s="2">
        <v>3970</v>
      </c>
      <c r="S22" s="2">
        <v>3120</v>
      </c>
      <c r="T22" s="2">
        <v>3090</v>
      </c>
      <c r="U22" s="10">
        <v>2990</v>
      </c>
      <c r="V22" s="10">
        <v>2850</v>
      </c>
      <c r="W22" s="10"/>
      <c r="X22" s="18"/>
    </row>
    <row r="23" spans="2:24" x14ac:dyDescent="0.3">
      <c r="B23" s="55"/>
      <c r="C23" s="60"/>
      <c r="D23" s="40"/>
      <c r="E23" s="10">
        <v>5320</v>
      </c>
      <c r="F23" s="10">
        <v>5050</v>
      </c>
      <c r="G23" s="10">
        <v>3820</v>
      </c>
      <c r="H23" s="10">
        <v>2680</v>
      </c>
      <c r="I23" s="10">
        <v>2100</v>
      </c>
      <c r="J23" s="10">
        <v>2030</v>
      </c>
      <c r="K23" s="10">
        <v>1870</v>
      </c>
      <c r="L23" s="10">
        <v>1750</v>
      </c>
      <c r="M23" s="10"/>
      <c r="N23" s="10">
        <v>1660</v>
      </c>
      <c r="O23" s="10"/>
      <c r="P23" s="42"/>
      <c r="Q23" s="2">
        <v>1160</v>
      </c>
      <c r="R23" s="10">
        <v>1040</v>
      </c>
      <c r="S23" s="2"/>
      <c r="T23" s="2"/>
      <c r="U23" s="2"/>
      <c r="V23" s="2"/>
      <c r="W23" s="2"/>
      <c r="X23" s="17"/>
    </row>
    <row r="24" spans="2:24" ht="15" thickBot="1" x14ac:dyDescent="0.35">
      <c r="B24" s="49"/>
      <c r="C24" s="61"/>
      <c r="D24" s="4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3"/>
    </row>
    <row r="25" spans="2:24" ht="15" thickBot="1" x14ac:dyDescent="0.35"/>
    <row r="26" spans="2:24" ht="14.4" customHeight="1" x14ac:dyDescent="0.55000000000000004">
      <c r="B26" s="11"/>
      <c r="C26" s="12"/>
      <c r="D26" s="13"/>
      <c r="E26" s="13"/>
      <c r="F26" s="43" t="s">
        <v>1</v>
      </c>
      <c r="G26" s="43"/>
      <c r="H26" s="43"/>
      <c r="I26" s="43"/>
      <c r="J26" s="43"/>
      <c r="K26" s="14"/>
      <c r="L26" s="14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5"/>
    </row>
    <row r="27" spans="2:24" ht="14.4" customHeight="1" x14ac:dyDescent="0.55000000000000004">
      <c r="B27" s="16"/>
      <c r="C27" s="8"/>
      <c r="D27" s="2"/>
      <c r="E27" s="2"/>
      <c r="F27" s="44"/>
      <c r="G27" s="44"/>
      <c r="H27" s="44"/>
      <c r="I27" s="44"/>
      <c r="J27" s="44"/>
      <c r="K27" s="9"/>
      <c r="L27" s="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7"/>
    </row>
    <row r="28" spans="2:24" x14ac:dyDescent="0.3">
      <c r="B28" s="55" t="s">
        <v>6</v>
      </c>
      <c r="C28" s="56"/>
      <c r="D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7"/>
    </row>
    <row r="29" spans="2:24" x14ac:dyDescent="0.3">
      <c r="B29" s="55">
        <f>SUM(E29:AD29)</f>
        <v>19790</v>
      </c>
      <c r="C29" s="56"/>
      <c r="D29" s="2" t="s">
        <v>11</v>
      </c>
      <c r="E29" s="2">
        <v>2030</v>
      </c>
      <c r="F29" s="2">
        <v>1980</v>
      </c>
      <c r="G29" s="10">
        <v>2000</v>
      </c>
      <c r="H29" s="10">
        <v>2000</v>
      </c>
      <c r="I29" s="10">
        <v>2880</v>
      </c>
      <c r="J29" s="10">
        <v>2920</v>
      </c>
      <c r="K29" s="2">
        <v>2980</v>
      </c>
      <c r="L29" s="2"/>
      <c r="M29" s="2">
        <v>3000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17"/>
    </row>
    <row r="30" spans="2:24" x14ac:dyDescent="0.3">
      <c r="B30" s="55"/>
      <c r="C30" s="56"/>
      <c r="D30" s="2"/>
      <c r="E30" s="2"/>
      <c r="F30" s="2"/>
      <c r="G30" s="10"/>
      <c r="H30" s="10"/>
      <c r="I30" s="10"/>
      <c r="J30" s="1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7"/>
    </row>
    <row r="31" spans="2:24" x14ac:dyDescent="0.3">
      <c r="B31" s="55">
        <f>SUM(E31:AD32)</f>
        <v>88870</v>
      </c>
      <c r="C31" s="56"/>
      <c r="D31" s="2" t="s">
        <v>13</v>
      </c>
      <c r="E31" s="10">
        <v>1580</v>
      </c>
      <c r="F31" s="10">
        <v>1580</v>
      </c>
      <c r="G31" s="10">
        <v>1990</v>
      </c>
      <c r="H31" s="10">
        <v>2830</v>
      </c>
      <c r="I31" s="10">
        <v>2940</v>
      </c>
      <c r="J31" s="10">
        <v>3020</v>
      </c>
      <c r="K31" s="10">
        <v>3030</v>
      </c>
      <c r="L31" s="10">
        <v>3890</v>
      </c>
      <c r="M31" s="10">
        <v>4150</v>
      </c>
      <c r="N31" s="10">
        <v>4160</v>
      </c>
      <c r="O31" s="10">
        <v>4890</v>
      </c>
      <c r="P31" s="10"/>
      <c r="Q31" s="2"/>
      <c r="R31" s="2"/>
      <c r="S31" s="2"/>
      <c r="T31" s="2"/>
      <c r="U31" s="2"/>
      <c r="V31" s="2"/>
      <c r="W31" s="2"/>
      <c r="X31" s="17"/>
    </row>
    <row r="32" spans="2:24" x14ac:dyDescent="0.3">
      <c r="B32" s="16"/>
      <c r="C32" s="8"/>
      <c r="D32" s="2"/>
      <c r="E32" s="10">
        <v>5010</v>
      </c>
      <c r="F32" s="10">
        <v>5080</v>
      </c>
      <c r="G32" s="10">
        <v>5240</v>
      </c>
      <c r="H32" s="10">
        <v>5730</v>
      </c>
      <c r="I32" s="10">
        <v>6060</v>
      </c>
      <c r="J32" s="10">
        <v>6800</v>
      </c>
      <c r="K32" s="10">
        <v>6890</v>
      </c>
      <c r="L32" s="10">
        <v>6930</v>
      </c>
      <c r="M32" s="18">
        <v>7070</v>
      </c>
      <c r="N32" s="10"/>
      <c r="O32" s="10"/>
      <c r="P32" s="10"/>
      <c r="Q32" s="2"/>
      <c r="R32" s="2"/>
      <c r="S32" s="2"/>
      <c r="T32" s="2"/>
      <c r="U32" s="2"/>
      <c r="V32" s="2"/>
      <c r="W32" s="2"/>
      <c r="X32" s="17"/>
    </row>
    <row r="33" spans="2:24" x14ac:dyDescent="0.3">
      <c r="B33" s="16"/>
      <c r="C33" s="8"/>
      <c r="D33" s="2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2"/>
      <c r="R33" s="2"/>
      <c r="S33" s="2"/>
      <c r="T33" s="2"/>
      <c r="U33" s="2"/>
      <c r="V33" s="2"/>
      <c r="W33" s="2"/>
      <c r="X33" s="17"/>
    </row>
    <row r="34" spans="2:24" x14ac:dyDescent="0.3">
      <c r="B34" s="55">
        <f>SUM(E34:AA34)</f>
        <v>35830</v>
      </c>
      <c r="C34" s="56"/>
      <c r="D34" s="2" t="s">
        <v>12</v>
      </c>
      <c r="E34" s="10">
        <v>1940</v>
      </c>
      <c r="F34" s="42">
        <v>2020</v>
      </c>
      <c r="G34" s="10">
        <v>2900</v>
      </c>
      <c r="H34" s="10">
        <v>2910</v>
      </c>
      <c r="I34" s="10">
        <v>3600</v>
      </c>
      <c r="J34" s="42"/>
      <c r="K34" s="10">
        <v>3690</v>
      </c>
      <c r="L34" s="10">
        <v>4040</v>
      </c>
      <c r="M34" s="10">
        <v>4820</v>
      </c>
      <c r="N34" s="10">
        <v>4930</v>
      </c>
      <c r="O34" s="10">
        <v>4980</v>
      </c>
      <c r="P34" s="66"/>
    </row>
    <row r="35" spans="2:24" x14ac:dyDescent="0.3">
      <c r="B35" s="16"/>
      <c r="C35" s="8"/>
      <c r="D35" s="2"/>
      <c r="E35" s="10">
        <v>5050</v>
      </c>
      <c r="F35" s="10">
        <v>5500</v>
      </c>
      <c r="G35" s="10">
        <v>5910</v>
      </c>
      <c r="H35" s="10">
        <v>6820</v>
      </c>
      <c r="I35" s="10">
        <v>8080</v>
      </c>
      <c r="J35" s="10">
        <v>8090</v>
      </c>
      <c r="K35" s="10">
        <v>9460</v>
      </c>
      <c r="L35" s="10">
        <v>9610</v>
      </c>
      <c r="M35" s="10">
        <v>10120</v>
      </c>
      <c r="N35" s="10">
        <v>12070</v>
      </c>
      <c r="O35" s="10"/>
      <c r="P35" s="10"/>
      <c r="Q35" s="2"/>
      <c r="R35" s="2"/>
      <c r="S35" s="2"/>
      <c r="T35" s="2"/>
      <c r="U35" s="2"/>
      <c r="V35" s="2"/>
      <c r="W35" s="2"/>
      <c r="X35" s="17"/>
    </row>
    <row r="36" spans="2:24" x14ac:dyDescent="0.3">
      <c r="B36" s="62">
        <f>SUM(E36:AR37)</f>
        <v>147040</v>
      </c>
      <c r="C36" s="63"/>
      <c r="D36" s="2" t="s">
        <v>14</v>
      </c>
      <c r="E36" s="10">
        <v>1820</v>
      </c>
      <c r="F36" s="10">
        <v>1890</v>
      </c>
      <c r="G36" s="10">
        <v>2000</v>
      </c>
      <c r="H36" s="10"/>
      <c r="I36" s="10">
        <v>2590</v>
      </c>
      <c r="J36" s="10">
        <v>2800</v>
      </c>
      <c r="K36" s="10">
        <v>2900</v>
      </c>
      <c r="L36" s="10">
        <v>2930</v>
      </c>
      <c r="M36" s="10">
        <v>3050</v>
      </c>
      <c r="N36" s="10">
        <v>3050</v>
      </c>
      <c r="O36" s="10">
        <v>3100</v>
      </c>
      <c r="P36" s="10">
        <v>3130</v>
      </c>
      <c r="Q36" s="10">
        <v>3570</v>
      </c>
      <c r="R36" s="10">
        <v>3750</v>
      </c>
      <c r="S36" s="10">
        <v>3760</v>
      </c>
      <c r="T36" s="10">
        <v>3840</v>
      </c>
      <c r="U36" s="10">
        <v>3880</v>
      </c>
      <c r="V36" s="10">
        <v>3950</v>
      </c>
      <c r="W36" s="2"/>
      <c r="X36" s="17"/>
    </row>
    <row r="37" spans="2:24" ht="14.4" customHeight="1" thickBot="1" x14ac:dyDescent="0.35">
      <c r="B37" s="19"/>
      <c r="C37" s="20"/>
      <c r="D37" s="21"/>
      <c r="E37" s="22">
        <v>4020</v>
      </c>
      <c r="F37" s="22">
        <v>4050</v>
      </c>
      <c r="G37" s="22">
        <v>4120</v>
      </c>
      <c r="H37" s="22">
        <v>4610</v>
      </c>
      <c r="I37" s="22">
        <v>4890</v>
      </c>
      <c r="J37" s="22">
        <v>5040</v>
      </c>
      <c r="K37" s="22"/>
      <c r="L37" s="22">
        <v>5200</v>
      </c>
      <c r="M37" s="10">
        <v>5720</v>
      </c>
      <c r="N37" s="10">
        <v>5880</v>
      </c>
      <c r="O37" s="22">
        <v>6850</v>
      </c>
      <c r="P37" s="22">
        <v>7030</v>
      </c>
      <c r="Q37" s="21">
        <v>7580</v>
      </c>
      <c r="R37" s="21">
        <v>9920</v>
      </c>
      <c r="S37" s="21">
        <v>10120</v>
      </c>
      <c r="T37" s="21">
        <v>10000</v>
      </c>
      <c r="U37" s="21"/>
      <c r="V37" s="21"/>
      <c r="W37" s="21"/>
      <c r="X37" s="24"/>
    </row>
    <row r="38" spans="2:24" ht="14.4" customHeight="1" x14ac:dyDescent="0.3">
      <c r="Q38" t="s">
        <v>9</v>
      </c>
    </row>
    <row r="43" spans="2:24" ht="16.8" customHeight="1" x14ac:dyDescent="0.5">
      <c r="D43" s="64" t="s">
        <v>2</v>
      </c>
      <c r="E43" s="2"/>
      <c r="F43" s="64">
        <f>SUM(B4:C16)</f>
        <v>358550</v>
      </c>
      <c r="G43" s="64"/>
      <c r="H43" s="64"/>
      <c r="I43" s="2"/>
      <c r="J43" s="57" t="s">
        <v>7</v>
      </c>
      <c r="K43" s="57"/>
      <c r="L43" s="57"/>
      <c r="M43" s="3"/>
      <c r="N43" s="57">
        <f>COUNT(E4:P15)</f>
        <v>59</v>
      </c>
      <c r="O43" s="57"/>
    </row>
    <row r="44" spans="2:24" ht="16.8" customHeight="1" x14ac:dyDescent="0.5">
      <c r="D44" s="65"/>
      <c r="E44" s="2"/>
      <c r="F44" s="64"/>
      <c r="G44" s="64"/>
      <c r="H44" s="64"/>
      <c r="I44" s="2"/>
      <c r="J44" s="57"/>
      <c r="K44" s="57"/>
      <c r="L44" s="57"/>
      <c r="M44" s="3"/>
      <c r="N44" s="57"/>
      <c r="O44" s="57"/>
    </row>
    <row r="45" spans="2:24" ht="11.4" customHeight="1" x14ac:dyDescent="0.6">
      <c r="D45" s="2"/>
      <c r="E45" s="2"/>
      <c r="F45" s="4"/>
      <c r="G45" s="4"/>
      <c r="H45" s="4"/>
      <c r="I45" s="2"/>
      <c r="J45" s="3"/>
      <c r="K45" s="3"/>
      <c r="L45" s="3"/>
      <c r="M45" s="3"/>
      <c r="N45" s="3"/>
      <c r="O45" s="3"/>
    </row>
    <row r="46" spans="2:24" ht="15" customHeight="1" x14ac:dyDescent="0.5">
      <c r="D46" s="64" t="s">
        <v>3</v>
      </c>
      <c r="E46" s="2"/>
      <c r="F46" s="64">
        <f>SUM(B20:C22)</f>
        <v>162120</v>
      </c>
      <c r="G46" s="64"/>
      <c r="H46" s="64"/>
      <c r="I46" s="2"/>
      <c r="J46" s="57" t="s">
        <v>7</v>
      </c>
      <c r="K46" s="57"/>
      <c r="L46" s="57"/>
      <c r="M46" s="3"/>
      <c r="N46" s="57">
        <f>COUNT(E20:Q23)</f>
        <v>36</v>
      </c>
      <c r="O46" s="57"/>
    </row>
    <row r="47" spans="2:24" ht="10.199999999999999" customHeight="1" x14ac:dyDescent="0.5">
      <c r="D47" s="65"/>
      <c r="E47" s="2"/>
      <c r="F47" s="64"/>
      <c r="G47" s="64"/>
      <c r="H47" s="64"/>
      <c r="I47" s="2"/>
      <c r="J47" s="57"/>
      <c r="K47" s="57"/>
      <c r="L47" s="57"/>
      <c r="M47" s="3"/>
      <c r="N47" s="57"/>
      <c r="O47" s="57"/>
    </row>
    <row r="48" spans="2:24" ht="13.2" customHeight="1" x14ac:dyDescent="0.6">
      <c r="D48" s="2"/>
      <c r="E48" s="2"/>
      <c r="F48" s="4"/>
      <c r="G48" s="4"/>
      <c r="H48" s="4"/>
      <c r="I48" s="2"/>
      <c r="J48" s="3"/>
      <c r="K48" s="3"/>
      <c r="L48" s="3"/>
      <c r="M48" s="3"/>
      <c r="N48" s="3"/>
      <c r="O48" s="3"/>
    </row>
    <row r="49" spans="4:15" ht="10.8" customHeight="1" x14ac:dyDescent="0.5">
      <c r="D49" s="64" t="s">
        <v>4</v>
      </c>
      <c r="E49" s="2"/>
      <c r="F49" s="64">
        <f>SUM(B29:C37)</f>
        <v>291530</v>
      </c>
      <c r="G49" s="64"/>
      <c r="H49" s="64"/>
      <c r="I49" s="2"/>
      <c r="J49" s="57" t="s">
        <v>7</v>
      </c>
      <c r="K49" s="57"/>
      <c r="L49" s="57"/>
      <c r="M49" s="3"/>
      <c r="N49" s="57">
        <f>COUNT(D29:AG36)</f>
        <v>65</v>
      </c>
      <c r="O49" s="57"/>
    </row>
    <row r="50" spans="4:15" ht="12.6" customHeight="1" x14ac:dyDescent="0.5">
      <c r="D50" s="65"/>
      <c r="E50" s="2"/>
      <c r="F50" s="64"/>
      <c r="G50" s="64"/>
      <c r="H50" s="64"/>
      <c r="I50" s="2"/>
      <c r="J50" s="57"/>
      <c r="K50" s="57"/>
      <c r="L50" s="57"/>
      <c r="M50" s="3"/>
      <c r="N50" s="57"/>
      <c r="O50" s="57"/>
    </row>
    <row r="51" spans="4:15" ht="16.2" customHeight="1" x14ac:dyDescent="0.6">
      <c r="D51" s="2"/>
      <c r="E51" s="2"/>
      <c r="F51" s="4"/>
      <c r="G51" s="4"/>
      <c r="H51" s="4"/>
      <c r="I51" s="2"/>
      <c r="J51" s="3"/>
      <c r="K51" s="3"/>
      <c r="L51" s="3"/>
      <c r="M51" s="3"/>
      <c r="N51" s="3"/>
      <c r="O51" s="3"/>
    </row>
    <row r="52" spans="4:15" ht="14.4" customHeight="1" x14ac:dyDescent="0.5">
      <c r="D52" s="64" t="s">
        <v>5</v>
      </c>
      <c r="E52" s="2"/>
      <c r="F52" s="64">
        <f>SUM(M3:N4)</f>
        <v>67900</v>
      </c>
      <c r="G52" s="64"/>
      <c r="H52" s="64"/>
      <c r="I52" s="2"/>
      <c r="J52" s="57" t="s">
        <v>7</v>
      </c>
      <c r="K52" s="57"/>
      <c r="L52" s="57"/>
      <c r="M52" s="3"/>
      <c r="N52" s="57">
        <f>COUNT(P3:Y5)</f>
        <v>15</v>
      </c>
      <c r="O52" s="57"/>
    </row>
    <row r="53" spans="4:15" ht="16.8" customHeight="1" x14ac:dyDescent="0.5">
      <c r="D53" s="65"/>
      <c r="E53" s="2"/>
      <c r="F53" s="64"/>
      <c r="G53" s="64"/>
      <c r="H53" s="64"/>
      <c r="I53" s="2"/>
      <c r="J53" s="57"/>
      <c r="K53" s="57"/>
      <c r="L53" s="57"/>
      <c r="M53" s="3"/>
      <c r="N53" s="57"/>
      <c r="O53" s="57"/>
    </row>
  </sheetData>
  <mergeCells count="40">
    <mergeCell ref="B36:C36"/>
    <mergeCell ref="N43:O44"/>
    <mergeCell ref="N46:O47"/>
    <mergeCell ref="N49:O50"/>
    <mergeCell ref="N52:O53"/>
    <mergeCell ref="D52:D53"/>
    <mergeCell ref="F43:H44"/>
    <mergeCell ref="F46:H47"/>
    <mergeCell ref="F49:H50"/>
    <mergeCell ref="F52:H53"/>
    <mergeCell ref="D43:D44"/>
    <mergeCell ref="D46:D47"/>
    <mergeCell ref="D49:D50"/>
    <mergeCell ref="J43:L44"/>
    <mergeCell ref="J46:L47"/>
    <mergeCell ref="J49:L50"/>
    <mergeCell ref="J52:L53"/>
    <mergeCell ref="B13:C15"/>
    <mergeCell ref="B16:C16"/>
    <mergeCell ref="B20:C20"/>
    <mergeCell ref="B21:C21"/>
    <mergeCell ref="F26:J27"/>
    <mergeCell ref="B22:C22"/>
    <mergeCell ref="B23:C23"/>
    <mergeCell ref="B19:C19"/>
    <mergeCell ref="B24:C24"/>
    <mergeCell ref="B28:C28"/>
    <mergeCell ref="B29:C29"/>
    <mergeCell ref="B30:C30"/>
    <mergeCell ref="B31:C31"/>
    <mergeCell ref="B34:C34"/>
    <mergeCell ref="J18:N19"/>
    <mergeCell ref="Q2:U2"/>
    <mergeCell ref="E2:H3"/>
    <mergeCell ref="B4:C5"/>
    <mergeCell ref="B6:C7"/>
    <mergeCell ref="B8:C9"/>
    <mergeCell ref="B10:C12"/>
    <mergeCell ref="B3:C3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atha</dc:creator>
  <cp:lastModifiedBy>zaidan atha</cp:lastModifiedBy>
  <dcterms:created xsi:type="dcterms:W3CDTF">2025-09-08T11:40:03Z</dcterms:created>
  <dcterms:modified xsi:type="dcterms:W3CDTF">2026-05-21T06:20:54Z</dcterms:modified>
</cp:coreProperties>
</file>