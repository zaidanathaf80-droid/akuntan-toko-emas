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A4666B81-0DE5-481B-8957-9103BD63DF76}" xr6:coauthVersionLast="47" xr6:coauthVersionMax="47" xr10:uidLastSave="{00000000-0000-0000-0000-000000000000}"/>
  <bookViews>
    <workbookView xWindow="-108" yWindow="-108" windowWidth="23256" windowHeight="12456" xr2:uid="{36BD57F7-A0A1-4207-B4D9-4CD5065B6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O52" i="1"/>
  <c r="B6" i="1"/>
  <c r="B16" i="1"/>
  <c r="B19" i="1"/>
  <c r="B22" i="1"/>
  <c r="B25" i="1"/>
  <c r="B13" i="1"/>
  <c r="B42" i="1"/>
  <c r="F52" i="1" l="1"/>
  <c r="O61" i="1"/>
  <c r="O58" i="1"/>
  <c r="B36" i="1" l="1"/>
  <c r="O55" i="1" l="1"/>
  <c r="F61" i="1"/>
  <c r="B34" i="1"/>
  <c r="F55" i="1" l="1"/>
  <c r="F58" i="1"/>
</calcChain>
</file>

<file path=xl/sharedStrings.xml><?xml version="1.0" encoding="utf-8"?>
<sst xmlns="http://schemas.openxmlformats.org/spreadsheetml/2006/main" count="30" uniqueCount="21">
  <si>
    <t>Gelang R.8K No2 (Q)</t>
  </si>
  <si>
    <r>
      <rPr>
        <sz val="22"/>
        <color theme="1"/>
        <rFont val="Calibri"/>
        <family val="2"/>
        <scheme val="minor"/>
      </rPr>
      <t>Anting 8K (</t>
    </r>
    <r>
      <rPr>
        <sz val="22"/>
        <color rgb="FFFF0000"/>
        <rFont val="Calibri"/>
        <family val="2"/>
        <scheme val="minor"/>
      </rPr>
      <t>R)</t>
    </r>
  </si>
  <si>
    <t>Kalung 8K No2 (T)</t>
  </si>
  <si>
    <t>Q</t>
  </si>
  <si>
    <t>R</t>
  </si>
  <si>
    <t>S</t>
  </si>
  <si>
    <t>T</t>
  </si>
  <si>
    <t>TOTAL</t>
  </si>
  <si>
    <t>JUMLAH</t>
  </si>
  <si>
    <t>Kalung 8K No1 (S)</t>
  </si>
  <si>
    <t>ANU GIWANG</t>
  </si>
  <si>
    <t>november</t>
  </si>
  <si>
    <t>HILANG</t>
  </si>
  <si>
    <t>GELANG PLAT</t>
  </si>
  <si>
    <t>R.3</t>
  </si>
  <si>
    <t>MISTERIUS</t>
  </si>
  <si>
    <t>R.2</t>
  </si>
  <si>
    <t>DESEMBER</t>
  </si>
  <si>
    <t>R.4</t>
  </si>
  <si>
    <t>FEBUARI</t>
  </si>
  <si>
    <t>KOKOT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</si>
</sst>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0" fillId="0" borderId="10" xfId="0" applyBorder="1"/>
    <xf numFmtId="0" fontId="0" fillId="2" borderId="0" xfId="0" applyFill="1"/>
    <xf numFmtId="0" fontId="0" fillId="2" borderId="1" xfId="0" applyFill="1" applyBorder="1"/>
    <xf numFmtId="0" fontId="0" fillId="3" borderId="15" xfId="0" applyFill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4" borderId="20" xfId="0" applyFill="1" applyBorder="1"/>
    <xf numFmtId="0" fontId="0" fillId="3" borderId="0" xfId="0" applyFill="1"/>
    <xf numFmtId="0" fontId="0" fillId="2" borderId="24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2" borderId="24" xfId="0" applyFill="1" applyBorder="1"/>
    <xf numFmtId="0" fontId="0" fillId="0" borderId="12" xfId="0" applyBorder="1"/>
    <xf numFmtId="0" fontId="0" fillId="0" borderId="13" xfId="0" applyBorder="1"/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3" fillId="0" borderId="15" xfId="0" applyFon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/>
    <xf numFmtId="0" fontId="0" fillId="2" borderId="18" xfId="0" applyFill="1" applyBorder="1"/>
    <xf numFmtId="0" fontId="0" fillId="2" borderId="18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" fillId="0" borderId="13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0" fontId="0" fillId="2" borderId="17" xfId="0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 vertical="center"/>
    </xf>
    <xf numFmtId="0" fontId="0" fillId="4" borderId="1" xfId="0" applyFill="1" applyBorder="1"/>
    <xf numFmtId="0" fontId="0" fillId="2" borderId="25" xfId="0" applyFill="1" applyBorder="1"/>
    <xf numFmtId="0" fontId="4" fillId="2" borderId="18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0" xfId="0" applyFill="1" applyBorder="1"/>
    <xf numFmtId="0" fontId="0" fillId="3" borderId="10" xfId="0" applyFill="1" applyBorder="1"/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5" xfId="0" applyBorder="1"/>
    <xf numFmtId="0" fontId="0" fillId="0" borderId="1" xfId="0" applyBorder="1"/>
    <xf numFmtId="0" fontId="3" fillId="2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D0B2-E952-494A-92CF-F5828E9A1C07}">
  <dimension ref="B1:AR74"/>
  <sheetViews>
    <sheetView tabSelected="1" topLeftCell="C35" zoomScale="85" zoomScaleNormal="115" workbookViewId="0">
      <selection activeCell="Z53" sqref="Z53"/>
    </sheetView>
  </sheetViews>
  <sheetFormatPr defaultRowHeight="14.4" x14ac:dyDescent="0.3"/>
  <cols>
    <col min="3" max="3" width="8.88671875" customWidth="1"/>
  </cols>
  <sheetData>
    <row r="1" spans="2:44" ht="14.4" customHeight="1" thickBot="1" x14ac:dyDescent="0.35">
      <c r="N1" s="1"/>
      <c r="O1" s="1"/>
      <c r="P1" s="1"/>
    </row>
    <row r="2" spans="2:44" ht="11.4" customHeight="1" x14ac:dyDescent="0.3">
      <c r="B2" s="24"/>
      <c r="C2" s="25"/>
      <c r="D2" s="25"/>
      <c r="E2" s="25"/>
      <c r="F2" s="25"/>
      <c r="G2" s="25"/>
      <c r="H2" s="25"/>
      <c r="I2" s="52" t="s">
        <v>0</v>
      </c>
      <c r="J2" s="52"/>
      <c r="K2" s="52"/>
      <c r="L2" s="52"/>
      <c r="M2" s="52"/>
      <c r="N2" s="21"/>
      <c r="O2" s="21"/>
      <c r="P2" s="21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7"/>
    </row>
    <row r="3" spans="2:44" ht="14.4" customHeight="1" x14ac:dyDescent="0.3">
      <c r="B3" s="58" t="s">
        <v>7</v>
      </c>
      <c r="C3" s="59"/>
      <c r="D3" s="5"/>
      <c r="E3" s="11"/>
      <c r="F3" s="11"/>
      <c r="G3" s="11"/>
      <c r="H3" s="11"/>
      <c r="I3" s="53"/>
      <c r="J3" s="53"/>
      <c r="K3" s="53"/>
      <c r="L3" s="53"/>
      <c r="M3" s="53"/>
      <c r="N3" s="11"/>
      <c r="O3" s="5"/>
      <c r="P3" s="5"/>
      <c r="Q3" s="11"/>
      <c r="R3" s="11"/>
      <c r="S3" s="11"/>
      <c r="T3" s="11"/>
      <c r="U3" s="7"/>
      <c r="V3" s="7"/>
      <c r="W3" s="7"/>
      <c r="X3" s="7"/>
      <c r="Y3" s="11"/>
      <c r="Z3" s="11"/>
      <c r="AA3" s="11"/>
      <c r="AB3" s="11"/>
      <c r="AC3" s="29"/>
      <c r="AD3" s="20"/>
      <c r="AE3" s="10"/>
      <c r="AF3" s="7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 spans="2:44" x14ac:dyDescent="0.3">
      <c r="B4" s="58">
        <f>SUM(D4:AC4)</f>
        <v>27520</v>
      </c>
      <c r="C4" s="59"/>
      <c r="D4" s="7">
        <v>1900</v>
      </c>
      <c r="E4" s="10">
        <v>2370</v>
      </c>
      <c r="F4" s="11">
        <v>2390</v>
      </c>
      <c r="G4" s="11">
        <v>2830</v>
      </c>
      <c r="H4" s="10">
        <v>5090</v>
      </c>
      <c r="J4" s="19">
        <v>1910</v>
      </c>
      <c r="K4" s="10"/>
      <c r="L4" s="10"/>
      <c r="M4" s="11"/>
      <c r="N4" s="7"/>
      <c r="O4" s="7">
        <v>1280</v>
      </c>
      <c r="P4" s="11">
        <v>1430</v>
      </c>
      <c r="Q4" s="11">
        <v>1570</v>
      </c>
      <c r="R4" s="7">
        <v>1620</v>
      </c>
      <c r="S4" s="11">
        <v>1630</v>
      </c>
      <c r="T4" s="11">
        <v>1690</v>
      </c>
      <c r="U4" s="11">
        <v>1810</v>
      </c>
      <c r="X4" s="7"/>
      <c r="Y4" s="11"/>
      <c r="Z4" s="11"/>
      <c r="AA4" s="63"/>
      <c r="AB4" s="63"/>
      <c r="AC4" s="3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spans="2:44" x14ac:dyDescent="0.3">
      <c r="B5" s="22"/>
      <c r="C5" s="6"/>
      <c r="D5" s="7"/>
      <c r="E5" s="11"/>
      <c r="F5" s="7"/>
      <c r="G5" s="7"/>
      <c r="I5" s="11"/>
      <c r="J5" s="7"/>
      <c r="K5" s="7"/>
      <c r="L5" s="7"/>
      <c r="M5" s="7"/>
      <c r="N5" s="7"/>
      <c r="O5" s="7"/>
      <c r="P5" s="11"/>
      <c r="Q5" s="7"/>
      <c r="R5" s="7"/>
      <c r="S5" s="11"/>
      <c r="T5" s="11"/>
      <c r="U5" s="11"/>
      <c r="V5" s="7"/>
      <c r="W5" s="11"/>
      <c r="X5" s="7"/>
      <c r="Y5" s="11"/>
      <c r="Z5" s="11"/>
      <c r="AA5" s="11"/>
      <c r="AB5" s="11"/>
      <c r="AC5" s="3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2:44" x14ac:dyDescent="0.3">
      <c r="B6" s="58">
        <f>SUM(E6:AE11)</f>
        <v>225350</v>
      </c>
      <c r="C6" s="59"/>
      <c r="D6" s="7">
        <v>6480</v>
      </c>
      <c r="E6" s="7">
        <v>6390</v>
      </c>
      <c r="F6" s="7">
        <v>5930</v>
      </c>
      <c r="G6" s="7">
        <v>5830</v>
      </c>
      <c r="H6" s="7">
        <v>5820</v>
      </c>
      <c r="I6" s="7">
        <v>5830</v>
      </c>
      <c r="J6" s="7">
        <v>5630</v>
      </c>
      <c r="K6" s="11"/>
      <c r="L6" s="7">
        <v>5530</v>
      </c>
      <c r="M6" s="48">
        <v>5410</v>
      </c>
      <c r="N6" s="7">
        <v>5400</v>
      </c>
      <c r="O6" s="47">
        <v>5140</v>
      </c>
      <c r="P6" s="7">
        <v>4830</v>
      </c>
      <c r="Q6" s="7">
        <v>4810</v>
      </c>
      <c r="R6" s="11"/>
      <c r="S6" s="7">
        <v>4760</v>
      </c>
      <c r="T6" s="7">
        <v>4730</v>
      </c>
      <c r="U6" s="7">
        <v>4550</v>
      </c>
      <c r="V6" s="7">
        <v>4510</v>
      </c>
      <c r="W6" s="7">
        <v>4500</v>
      </c>
      <c r="X6" s="7">
        <v>4410</v>
      </c>
      <c r="Y6" s="11">
        <v>4380</v>
      </c>
      <c r="Z6" s="11"/>
      <c r="AA6" s="11"/>
      <c r="AB6" s="11"/>
      <c r="AC6" s="13"/>
      <c r="AE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 spans="2:44" x14ac:dyDescent="0.3">
      <c r="B7" s="58"/>
      <c r="C7" s="59"/>
      <c r="D7" s="7"/>
      <c r="E7" s="7"/>
      <c r="F7" s="7"/>
      <c r="G7" s="7"/>
      <c r="H7" s="11"/>
      <c r="I7" s="7"/>
      <c r="J7" s="7"/>
      <c r="K7" s="7"/>
      <c r="L7" s="7"/>
      <c r="N7" s="7"/>
      <c r="O7" s="7"/>
      <c r="P7" s="11"/>
      <c r="Q7" s="7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3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 spans="2:44" x14ac:dyDescent="0.3">
      <c r="B8" s="58"/>
      <c r="C8" s="59"/>
      <c r="D8" s="11">
        <v>4330</v>
      </c>
      <c r="E8" s="7">
        <v>4180</v>
      </c>
      <c r="F8" s="7">
        <v>4130</v>
      </c>
      <c r="G8" s="7">
        <v>4100</v>
      </c>
      <c r="I8" s="7">
        <v>4020</v>
      </c>
      <c r="J8" s="43">
        <v>5010</v>
      </c>
      <c r="K8" s="43">
        <v>4040</v>
      </c>
      <c r="L8" s="11">
        <v>4050</v>
      </c>
      <c r="M8" s="11">
        <v>4010</v>
      </c>
      <c r="N8" s="11">
        <v>4070</v>
      </c>
      <c r="O8" s="11">
        <v>3870</v>
      </c>
      <c r="P8" s="44">
        <v>3380</v>
      </c>
      <c r="Q8" s="11">
        <v>3800</v>
      </c>
      <c r="R8" s="7">
        <v>3780</v>
      </c>
      <c r="T8" s="7">
        <v>3630</v>
      </c>
      <c r="U8" s="7">
        <v>3610</v>
      </c>
      <c r="V8" s="43">
        <v>3580</v>
      </c>
      <c r="W8" s="7">
        <v>3490</v>
      </c>
      <c r="X8" s="7">
        <v>3310</v>
      </c>
      <c r="Y8" s="7">
        <v>3440</v>
      </c>
      <c r="Z8" s="7">
        <v>3810</v>
      </c>
      <c r="AA8" s="10"/>
      <c r="AB8" s="11">
        <v>3630</v>
      </c>
      <c r="AC8" s="5"/>
      <c r="AD8" s="23"/>
      <c r="AE8" s="11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 spans="2:44" ht="15" thickBot="1" x14ac:dyDescent="0.35">
      <c r="B9" s="58"/>
      <c r="C9" s="59"/>
      <c r="D9" s="7"/>
      <c r="F9" s="11"/>
      <c r="G9" s="7"/>
      <c r="H9" s="7"/>
      <c r="I9" s="32"/>
      <c r="J9" s="11"/>
      <c r="K9" s="11"/>
      <c r="L9" s="11"/>
      <c r="M9" s="7"/>
      <c r="N9" s="10"/>
      <c r="O9" s="7"/>
      <c r="P9" s="11"/>
      <c r="Q9" s="7"/>
      <c r="R9" s="11"/>
      <c r="S9" s="11"/>
      <c r="T9" s="7"/>
      <c r="U9" s="7"/>
      <c r="V9" s="7"/>
      <c r="W9" s="7"/>
      <c r="X9" s="11"/>
      <c r="Y9" s="11"/>
      <c r="Z9" s="11"/>
      <c r="AA9" s="11"/>
      <c r="AB9" s="11"/>
      <c r="AC9" s="3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2:44" ht="14.4" customHeight="1" thickBot="1" x14ac:dyDescent="0.35">
      <c r="B10" s="77"/>
      <c r="C10" s="78"/>
      <c r="D10" s="31">
        <v>3330</v>
      </c>
      <c r="E10" s="32">
        <v>3120</v>
      </c>
      <c r="F10" s="32">
        <v>3210</v>
      </c>
      <c r="G10" s="31">
        <v>3030</v>
      </c>
      <c r="H10" s="31">
        <v>2940</v>
      </c>
      <c r="I10" s="32">
        <v>2940</v>
      </c>
      <c r="J10" s="32">
        <v>3020</v>
      </c>
      <c r="K10" s="31">
        <v>2710</v>
      </c>
      <c r="L10" s="32">
        <v>2530</v>
      </c>
      <c r="M10" s="31">
        <v>2520</v>
      </c>
      <c r="N10" s="31">
        <v>2670</v>
      </c>
      <c r="P10" s="32">
        <v>2580</v>
      </c>
      <c r="Q10" s="31">
        <v>2430</v>
      </c>
      <c r="R10" s="32">
        <v>2320</v>
      </c>
      <c r="S10" s="32">
        <v>2140</v>
      </c>
      <c r="T10" s="32"/>
      <c r="U10" s="32">
        <v>2040</v>
      </c>
      <c r="V10" s="32">
        <v>1990</v>
      </c>
      <c r="X10" s="32">
        <v>1910</v>
      </c>
      <c r="Y10" s="32">
        <v>1920</v>
      </c>
      <c r="Z10" s="31"/>
      <c r="AA10" s="31"/>
      <c r="AB10" s="31"/>
      <c r="AC10" s="17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2:44" ht="15" thickBot="1" x14ac:dyDescent="0.35">
      <c r="B11" s="79"/>
      <c r="C11" s="80"/>
      <c r="D11" s="9"/>
      <c r="E11" s="9"/>
      <c r="F11" s="9"/>
      <c r="G11" s="9"/>
      <c r="H11" s="9"/>
      <c r="I11" s="9"/>
      <c r="L11" s="33"/>
      <c r="M11" s="33"/>
      <c r="N11" s="9"/>
      <c r="O11" s="33"/>
      <c r="P11" s="3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2:44" ht="28.8" x14ac:dyDescent="0.55000000000000004">
      <c r="B12" s="56" t="s">
        <v>7</v>
      </c>
      <c r="C12" s="57"/>
      <c r="D12" s="25"/>
      <c r="E12" s="25"/>
      <c r="F12" s="25"/>
      <c r="G12" s="25"/>
      <c r="H12" s="25"/>
      <c r="I12" s="25"/>
      <c r="J12" s="25"/>
      <c r="K12" s="26" t="s">
        <v>1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AC12" s="27"/>
    </row>
    <row r="13" spans="2:44" x14ac:dyDescent="0.3">
      <c r="B13" s="58">
        <f>SUM(E13:AC14)</f>
        <v>42390</v>
      </c>
      <c r="C13" s="59"/>
      <c r="D13" s="11"/>
      <c r="E13" s="10"/>
      <c r="F13" s="10"/>
      <c r="G13" s="11">
        <v>950</v>
      </c>
      <c r="H13" s="11">
        <v>950</v>
      </c>
      <c r="I13" s="11">
        <v>920</v>
      </c>
      <c r="J13" s="11">
        <v>1020</v>
      </c>
      <c r="K13" s="11">
        <v>1030</v>
      </c>
      <c r="L13" s="11">
        <v>1050</v>
      </c>
      <c r="M13" s="11">
        <v>1060</v>
      </c>
      <c r="N13" s="11"/>
      <c r="O13" s="11">
        <v>1390</v>
      </c>
      <c r="P13" s="11">
        <v>1700</v>
      </c>
      <c r="Q13" s="11">
        <v>2120</v>
      </c>
      <c r="R13" s="11">
        <v>840</v>
      </c>
      <c r="S13" s="11">
        <v>860</v>
      </c>
      <c r="T13" s="11">
        <v>880</v>
      </c>
      <c r="U13" s="11">
        <v>770</v>
      </c>
      <c r="V13" s="11"/>
      <c r="W13" s="11">
        <v>870</v>
      </c>
      <c r="X13" s="10">
        <v>800</v>
      </c>
      <c r="Y13" s="10"/>
      <c r="Z13" s="11"/>
      <c r="AA13" s="11">
        <v>1010</v>
      </c>
      <c r="AB13" s="11">
        <v>1010</v>
      </c>
      <c r="AC13" s="30"/>
    </row>
    <row r="14" spans="2:44" x14ac:dyDescent="0.3">
      <c r="B14" s="58"/>
      <c r="C14" s="59"/>
      <c r="D14" s="11"/>
      <c r="E14" s="11">
        <v>920</v>
      </c>
      <c r="F14" s="11">
        <v>900</v>
      </c>
      <c r="G14" s="11">
        <v>870</v>
      </c>
      <c r="H14" s="11">
        <v>1020</v>
      </c>
      <c r="I14" s="11">
        <v>1030</v>
      </c>
      <c r="J14" s="11">
        <v>1070</v>
      </c>
      <c r="K14" s="11">
        <v>1090</v>
      </c>
      <c r="L14" s="11">
        <v>1030</v>
      </c>
      <c r="M14" s="11">
        <v>1020</v>
      </c>
      <c r="N14" s="11"/>
      <c r="O14" s="11">
        <v>1090</v>
      </c>
      <c r="P14" s="11">
        <v>1170</v>
      </c>
      <c r="Q14" s="11">
        <v>1190</v>
      </c>
      <c r="R14" s="11">
        <v>1120</v>
      </c>
      <c r="S14" s="11">
        <v>1270</v>
      </c>
      <c r="T14" s="11">
        <v>1250</v>
      </c>
      <c r="U14" s="11">
        <v>1270</v>
      </c>
      <c r="W14" s="11">
        <v>1290</v>
      </c>
      <c r="X14" s="11">
        <v>1320</v>
      </c>
      <c r="Y14" s="11"/>
      <c r="Z14" s="11"/>
      <c r="AA14" s="10"/>
      <c r="AB14" s="11">
        <v>1560</v>
      </c>
      <c r="AC14" s="11">
        <v>1680</v>
      </c>
    </row>
    <row r="15" spans="2:44" x14ac:dyDescent="0.3">
      <c r="B15" s="60"/>
      <c r="C15" s="61"/>
      <c r="D15" s="11"/>
      <c r="E15" s="11"/>
      <c r="F15" s="11"/>
      <c r="G15" s="10"/>
      <c r="H15" s="11"/>
      <c r="I15" s="10"/>
      <c r="J15" s="11"/>
      <c r="K15" s="11"/>
      <c r="L15" s="10"/>
      <c r="M15" s="11"/>
      <c r="N15" s="11"/>
      <c r="O15" s="11"/>
      <c r="P15" s="11"/>
      <c r="Q15" s="10"/>
      <c r="R15" s="11"/>
      <c r="S15" s="10"/>
      <c r="T15" s="11"/>
      <c r="U15" s="11"/>
      <c r="V15" s="11"/>
      <c r="W15" s="11"/>
      <c r="X15" s="11"/>
      <c r="Y15" s="11"/>
      <c r="Z15" s="11"/>
      <c r="AA15" s="11"/>
      <c r="AB15" s="11"/>
      <c r="AC15" s="30"/>
    </row>
    <row r="16" spans="2:44" x14ac:dyDescent="0.3">
      <c r="B16" s="58">
        <f>SUM(E16:AC17)</f>
        <v>41260</v>
      </c>
      <c r="C16" s="59"/>
      <c r="D16" s="10"/>
      <c r="E16" s="10">
        <v>790</v>
      </c>
      <c r="F16" s="11">
        <v>830</v>
      </c>
      <c r="G16" s="11">
        <v>1100</v>
      </c>
      <c r="H16" s="11">
        <v>880</v>
      </c>
      <c r="I16" s="11">
        <v>790</v>
      </c>
      <c r="J16" s="10">
        <v>700</v>
      </c>
      <c r="K16" s="11"/>
      <c r="L16" s="42"/>
      <c r="M16" s="42">
        <v>530</v>
      </c>
      <c r="N16" s="10"/>
      <c r="O16" s="42">
        <v>550</v>
      </c>
      <c r="P16" s="11">
        <v>900</v>
      </c>
      <c r="Q16" s="11">
        <v>1020</v>
      </c>
      <c r="R16" s="11"/>
      <c r="S16" s="10"/>
      <c r="T16" s="11">
        <v>570</v>
      </c>
      <c r="U16" s="42">
        <v>950</v>
      </c>
      <c r="V16" s="11">
        <v>1210</v>
      </c>
      <c r="W16" s="11">
        <v>1180</v>
      </c>
      <c r="X16" s="11">
        <v>1170</v>
      </c>
      <c r="Y16" s="11">
        <v>1210</v>
      </c>
      <c r="Z16" s="11">
        <v>2010</v>
      </c>
      <c r="AA16" s="11">
        <v>1810</v>
      </c>
      <c r="AB16" s="11"/>
      <c r="AC16" s="30"/>
    </row>
    <row r="17" spans="2:29" x14ac:dyDescent="0.3">
      <c r="B17" s="58"/>
      <c r="C17" s="59"/>
      <c r="D17" s="11"/>
      <c r="E17" s="11">
        <v>1800</v>
      </c>
      <c r="F17" s="11">
        <v>1800</v>
      </c>
      <c r="G17" s="11">
        <v>1750</v>
      </c>
      <c r="H17" s="11">
        <v>1690</v>
      </c>
      <c r="I17" s="10"/>
      <c r="J17" s="11">
        <v>1680</v>
      </c>
      <c r="K17" s="10"/>
      <c r="L17" s="11">
        <v>1640</v>
      </c>
      <c r="M17" s="11">
        <v>1640</v>
      </c>
      <c r="N17" s="10"/>
      <c r="O17" s="11">
        <v>1610</v>
      </c>
      <c r="P17" s="11">
        <v>1600</v>
      </c>
      <c r="Q17" s="11">
        <v>1600</v>
      </c>
      <c r="R17" s="11">
        <v>1600</v>
      </c>
      <c r="S17" s="11">
        <v>1610</v>
      </c>
      <c r="T17" s="11"/>
      <c r="U17" s="11">
        <v>1580</v>
      </c>
      <c r="V17" s="11">
        <v>1460</v>
      </c>
      <c r="W17" s="11"/>
      <c r="X17" s="11"/>
      <c r="Y17" s="11"/>
      <c r="Z17" s="11"/>
      <c r="AA17" s="11"/>
      <c r="AB17" s="11"/>
      <c r="AC17" s="30"/>
    </row>
    <row r="18" spans="2:29" x14ac:dyDescent="0.3">
      <c r="B18" s="60"/>
      <c r="C18" s="6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0"/>
      <c r="V18" s="10"/>
      <c r="W18" s="11"/>
      <c r="X18" s="10"/>
      <c r="Y18" s="11"/>
      <c r="Z18" s="11"/>
      <c r="AA18" s="11"/>
      <c r="AB18" s="11"/>
      <c r="AC18" s="30"/>
    </row>
    <row r="19" spans="2:29" x14ac:dyDescent="0.3">
      <c r="B19" s="58">
        <f>SUM(E19:AC20)</f>
        <v>40360</v>
      </c>
      <c r="C19" s="59"/>
      <c r="D19" s="11">
        <v>1070</v>
      </c>
      <c r="E19" s="11">
        <v>1580</v>
      </c>
      <c r="F19" s="11">
        <v>1560</v>
      </c>
      <c r="G19" s="11">
        <v>1560</v>
      </c>
      <c r="H19" s="42"/>
      <c r="I19" s="10"/>
      <c r="J19" s="11">
        <v>1540</v>
      </c>
      <c r="K19" s="11"/>
      <c r="L19" s="11">
        <v>1530</v>
      </c>
      <c r="M19" s="11">
        <v>1520</v>
      </c>
      <c r="N19" s="11"/>
      <c r="O19" s="11">
        <v>1490</v>
      </c>
      <c r="P19" s="11">
        <v>1480</v>
      </c>
      <c r="Q19" s="11">
        <v>1460</v>
      </c>
      <c r="R19" s="11">
        <v>1450</v>
      </c>
      <c r="S19" s="11"/>
      <c r="T19" s="11">
        <v>1420</v>
      </c>
      <c r="U19" s="11">
        <v>1370</v>
      </c>
      <c r="W19" s="11">
        <v>1350</v>
      </c>
      <c r="X19" s="11">
        <v>1350</v>
      </c>
      <c r="Y19" s="11">
        <v>1330</v>
      </c>
      <c r="Z19" s="11">
        <v>1460</v>
      </c>
      <c r="AB19" s="11"/>
      <c r="AC19" s="30"/>
    </row>
    <row r="20" spans="2:29" x14ac:dyDescent="0.3">
      <c r="B20" s="58"/>
      <c r="C20" s="59"/>
      <c r="D20" s="11"/>
      <c r="E20" s="11">
        <v>1190</v>
      </c>
      <c r="F20" s="42"/>
      <c r="G20" s="11">
        <v>1250</v>
      </c>
      <c r="H20" s="11">
        <v>2000</v>
      </c>
      <c r="I20" s="11">
        <v>1180</v>
      </c>
      <c r="J20" s="42">
        <v>1670</v>
      </c>
      <c r="M20" s="11">
        <v>1150</v>
      </c>
      <c r="N20" s="10"/>
      <c r="O20" s="11">
        <v>1150</v>
      </c>
      <c r="P20" s="42">
        <v>1180</v>
      </c>
      <c r="Q20" s="10"/>
      <c r="R20" s="11">
        <v>1040</v>
      </c>
      <c r="S20" s="10"/>
      <c r="T20" s="11">
        <v>1050</v>
      </c>
      <c r="U20" s="11">
        <v>1670</v>
      </c>
      <c r="V20" s="11">
        <v>1450</v>
      </c>
      <c r="W20" s="11">
        <v>930</v>
      </c>
      <c r="X20" s="11"/>
      <c r="Y20" s="11"/>
      <c r="Z20" s="11"/>
      <c r="AA20" s="11"/>
      <c r="AB20" s="11"/>
      <c r="AC20" s="30"/>
    </row>
    <row r="21" spans="2:29" x14ac:dyDescent="0.3">
      <c r="B21" s="58"/>
      <c r="C21" s="5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0"/>
      <c r="S21" s="10"/>
      <c r="T21" s="11"/>
      <c r="U21" s="10"/>
      <c r="W21" s="10"/>
      <c r="X21" s="11"/>
      <c r="Y21" s="11"/>
      <c r="Z21" s="11"/>
      <c r="AA21" s="11"/>
      <c r="AB21" s="11"/>
      <c r="AC21" s="30"/>
    </row>
    <row r="22" spans="2:29" x14ac:dyDescent="0.3">
      <c r="B22" s="58">
        <f>SUM(E22:AC23)</f>
        <v>24990</v>
      </c>
      <c r="C22" s="59"/>
      <c r="D22" s="11"/>
      <c r="E22" s="11">
        <v>2430</v>
      </c>
      <c r="F22" s="11">
        <v>1590</v>
      </c>
      <c r="G22" s="11">
        <v>950</v>
      </c>
      <c r="H22" s="42">
        <v>950</v>
      </c>
      <c r="I22" s="11">
        <v>1350</v>
      </c>
      <c r="J22" s="42">
        <v>1050</v>
      </c>
      <c r="K22" s="10"/>
      <c r="L22" s="42">
        <v>1020</v>
      </c>
      <c r="M22" s="42">
        <v>990</v>
      </c>
      <c r="N22" s="42">
        <v>530</v>
      </c>
      <c r="O22" s="42">
        <v>530</v>
      </c>
      <c r="P22" s="11">
        <v>440</v>
      </c>
      <c r="Q22" s="11">
        <v>400</v>
      </c>
      <c r="R22" s="42">
        <v>440</v>
      </c>
      <c r="S22" s="11">
        <v>560</v>
      </c>
      <c r="T22" s="42">
        <v>1180</v>
      </c>
      <c r="U22" s="11">
        <v>1020</v>
      </c>
      <c r="V22" s="42">
        <v>1180</v>
      </c>
      <c r="W22" s="42">
        <v>930</v>
      </c>
      <c r="X22" s="42">
        <v>810</v>
      </c>
      <c r="Y22" s="42">
        <v>520</v>
      </c>
      <c r="Z22" s="11">
        <v>530</v>
      </c>
      <c r="AA22" s="11">
        <v>360</v>
      </c>
      <c r="AB22" s="50">
        <v>1160</v>
      </c>
    </row>
    <row r="23" spans="2:29" x14ac:dyDescent="0.3">
      <c r="B23" s="58"/>
      <c r="C23" s="59"/>
      <c r="D23" s="11"/>
      <c r="E23" s="10"/>
      <c r="F23" s="10"/>
      <c r="G23" s="10"/>
      <c r="H23" s="42"/>
      <c r="I23" s="10"/>
      <c r="J23" s="10"/>
      <c r="K23" s="10"/>
      <c r="M23" s="11"/>
      <c r="N23" s="10"/>
      <c r="O23" s="11">
        <v>1000</v>
      </c>
      <c r="P23" s="11">
        <v>1140</v>
      </c>
      <c r="Q23" s="11"/>
      <c r="R23" s="11">
        <v>1930</v>
      </c>
      <c r="S23" s="10"/>
      <c r="T23" s="11"/>
      <c r="U23" s="11"/>
      <c r="V23" s="11"/>
      <c r="W23" s="11"/>
      <c r="AB23" s="11"/>
      <c r="AC23" s="11"/>
    </row>
    <row r="24" spans="2:29" x14ac:dyDescent="0.3">
      <c r="B24" s="60"/>
      <c r="C24" s="61"/>
      <c r="D24" s="11"/>
      <c r="L24" s="11"/>
      <c r="O24" s="10"/>
      <c r="Q24" s="11"/>
      <c r="R24" s="11"/>
      <c r="S24" s="10"/>
      <c r="T24" s="11"/>
      <c r="U24" s="11"/>
      <c r="V24" s="11"/>
      <c r="W24" s="11"/>
      <c r="X24" s="11"/>
      <c r="Y24" s="11"/>
      <c r="Z24" s="10"/>
      <c r="AA24" s="11"/>
      <c r="AB24" s="11"/>
      <c r="AC24" s="30"/>
    </row>
    <row r="25" spans="2:29" x14ac:dyDescent="0.3">
      <c r="B25" s="58">
        <f>SUM(E25:AC26)</f>
        <v>17030</v>
      </c>
      <c r="C25" s="59"/>
      <c r="D25" s="11"/>
      <c r="E25" s="11">
        <v>830</v>
      </c>
      <c r="F25" s="10">
        <v>760</v>
      </c>
      <c r="G25" s="11">
        <v>1130</v>
      </c>
      <c r="H25" s="11">
        <v>1040</v>
      </c>
      <c r="K25" s="10"/>
      <c r="L25" s="11">
        <v>920</v>
      </c>
      <c r="M25" s="11">
        <v>830</v>
      </c>
      <c r="N25" s="11">
        <v>1560</v>
      </c>
      <c r="O25" s="11">
        <v>1470</v>
      </c>
      <c r="P25" s="11"/>
      <c r="Q25" s="11">
        <v>920</v>
      </c>
      <c r="R25" s="11">
        <v>910</v>
      </c>
      <c r="S25" s="11">
        <v>880</v>
      </c>
      <c r="T25" s="42">
        <v>520</v>
      </c>
      <c r="U25" s="45">
        <v>560</v>
      </c>
      <c r="V25" s="45">
        <v>560</v>
      </c>
      <c r="W25" s="11">
        <v>570</v>
      </c>
      <c r="X25" s="11">
        <v>550</v>
      </c>
      <c r="Y25" s="11">
        <v>540</v>
      </c>
      <c r="Z25" s="50">
        <v>540</v>
      </c>
      <c r="AA25" s="50">
        <v>540</v>
      </c>
      <c r="AC25" s="30"/>
    </row>
    <row r="26" spans="2:29" ht="15" thickBot="1" x14ac:dyDescent="0.35">
      <c r="B26" s="75"/>
      <c r="C26" s="76"/>
      <c r="D26" s="31"/>
      <c r="E26" s="31"/>
      <c r="F26" s="31" t="s">
        <v>20</v>
      </c>
      <c r="G26" s="31"/>
      <c r="H26" s="31" t="s">
        <v>10</v>
      </c>
      <c r="I26" s="31"/>
      <c r="J26" s="31"/>
      <c r="K26" s="31"/>
      <c r="L26" s="31"/>
      <c r="M26" s="31"/>
      <c r="N26" s="10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51">
        <v>450</v>
      </c>
      <c r="Z26" s="49">
        <v>950</v>
      </c>
      <c r="AA26" s="10"/>
    </row>
    <row r="27" spans="2:29" x14ac:dyDescent="0.3">
      <c r="B27" s="72"/>
      <c r="C27" s="72"/>
    </row>
    <row r="29" spans="2:29" x14ac:dyDescent="0.3">
      <c r="B29" s="72"/>
      <c r="C29" s="72"/>
    </row>
    <row r="30" spans="2:29" ht="15" thickBot="1" x14ac:dyDescent="0.35">
      <c r="B30" s="72"/>
      <c r="C30" s="72"/>
    </row>
    <row r="31" spans="2:29" ht="14.4" customHeight="1" x14ac:dyDescent="0.55000000000000004">
      <c r="B31" s="56"/>
      <c r="C31" s="57"/>
      <c r="D31" s="25"/>
      <c r="E31" s="25"/>
      <c r="F31" s="25"/>
      <c r="G31" s="25"/>
      <c r="H31" s="52" t="s">
        <v>9</v>
      </c>
      <c r="I31" s="52"/>
      <c r="J31" s="52"/>
      <c r="K31" s="52"/>
      <c r="L31" s="34"/>
      <c r="M31" s="26"/>
      <c r="N31" s="26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7"/>
    </row>
    <row r="32" spans="2:29" ht="14.4" customHeight="1" x14ac:dyDescent="0.55000000000000004">
      <c r="B32" s="58"/>
      <c r="C32" s="59"/>
      <c r="D32" s="5"/>
      <c r="E32" s="5"/>
      <c r="F32" s="5"/>
      <c r="G32" s="5"/>
      <c r="H32" s="53"/>
      <c r="I32" s="53"/>
      <c r="J32" s="53"/>
      <c r="K32" s="53"/>
      <c r="L32" s="2"/>
      <c r="M32" s="3"/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3"/>
    </row>
    <row r="33" spans="2:26" x14ac:dyDescent="0.3">
      <c r="B33" s="58" t="s">
        <v>7</v>
      </c>
      <c r="C33" s="5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3"/>
    </row>
    <row r="34" spans="2:26" x14ac:dyDescent="0.3">
      <c r="B34" s="58">
        <f>SUM(E34:H34)</f>
        <v>0</v>
      </c>
      <c r="C34" s="5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3"/>
    </row>
    <row r="35" spans="2:26" x14ac:dyDescent="0.3">
      <c r="B35" s="14"/>
      <c r="C35" s="5"/>
      <c r="D35" s="5"/>
      <c r="E35" s="5"/>
      <c r="F35" s="5"/>
      <c r="G35" s="5"/>
      <c r="H35" s="5"/>
      <c r="I35" s="5"/>
      <c r="J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3"/>
    </row>
    <row r="36" spans="2:26" x14ac:dyDescent="0.3">
      <c r="B36" s="58">
        <f>SUM(E36:V38)</f>
        <v>152160</v>
      </c>
      <c r="C36" s="59"/>
      <c r="D36" s="5"/>
      <c r="E36" s="5">
        <v>2310</v>
      </c>
      <c r="F36" s="5">
        <v>2420</v>
      </c>
      <c r="G36" s="5">
        <v>2760</v>
      </c>
      <c r="H36" s="5"/>
      <c r="I36" s="5">
        <v>2330</v>
      </c>
      <c r="J36" s="5">
        <v>2200</v>
      </c>
      <c r="K36" s="5">
        <v>2450</v>
      </c>
      <c r="L36" s="5">
        <v>3000</v>
      </c>
      <c r="M36" s="5">
        <v>2770</v>
      </c>
      <c r="N36" s="5"/>
      <c r="O36" s="5">
        <v>2860</v>
      </c>
      <c r="P36" s="5"/>
      <c r="Q36" s="5">
        <v>3030</v>
      </c>
      <c r="R36" s="5">
        <v>3410</v>
      </c>
      <c r="S36" s="11">
        <v>3710</v>
      </c>
      <c r="T36" s="11">
        <v>3770</v>
      </c>
      <c r="U36" s="11"/>
      <c r="V36" s="5">
        <v>3820</v>
      </c>
      <c r="W36" s="5">
        <v>4980</v>
      </c>
      <c r="X36" s="5">
        <v>4130</v>
      </c>
      <c r="Y36" s="5"/>
      <c r="Z36" s="13"/>
    </row>
    <row r="37" spans="2:26" x14ac:dyDescent="0.3">
      <c r="B37" s="28"/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3"/>
    </row>
    <row r="38" spans="2:26" ht="15" thickBot="1" x14ac:dyDescent="0.35">
      <c r="B38" s="35"/>
      <c r="C38" s="36"/>
      <c r="D38" s="16"/>
      <c r="E38" s="16">
        <v>5110</v>
      </c>
      <c r="F38" s="16">
        <v>5130</v>
      </c>
      <c r="G38" s="16">
        <v>6090</v>
      </c>
      <c r="H38" s="16"/>
      <c r="I38" s="16"/>
      <c r="J38" s="16">
        <v>7090</v>
      </c>
      <c r="K38" s="16">
        <v>6980</v>
      </c>
      <c r="L38" s="31">
        <v>7070</v>
      </c>
      <c r="M38" s="16">
        <v>7830</v>
      </c>
      <c r="N38" s="16">
        <v>7800</v>
      </c>
      <c r="O38" s="16">
        <v>8110</v>
      </c>
      <c r="P38" s="16">
        <v>9930</v>
      </c>
      <c r="Q38" s="16">
        <v>9970</v>
      </c>
      <c r="R38" s="16">
        <v>9910</v>
      </c>
      <c r="S38" s="16"/>
      <c r="T38" s="16">
        <v>9900</v>
      </c>
      <c r="U38" s="16">
        <v>10400</v>
      </c>
      <c r="V38" s="16"/>
      <c r="W38" s="16"/>
      <c r="X38" s="16"/>
      <c r="Y38" s="16"/>
      <c r="Z38" s="17"/>
    </row>
    <row r="39" spans="2:26" ht="14.4" customHeight="1" thickBot="1" x14ac:dyDescent="0.6">
      <c r="B39" s="72"/>
      <c r="C39" s="72"/>
      <c r="H39" s="8"/>
      <c r="I39" s="8"/>
      <c r="J39" s="8"/>
      <c r="K39" s="8"/>
      <c r="L39" s="1"/>
      <c r="M39" s="1"/>
      <c r="N39" s="1"/>
    </row>
    <row r="40" spans="2:26" ht="14.4" customHeight="1" x14ac:dyDescent="0.3">
      <c r="B40" s="73"/>
      <c r="C40" s="74"/>
      <c r="D40" s="37"/>
      <c r="E40" s="37"/>
      <c r="F40" s="37"/>
      <c r="G40" s="37"/>
      <c r="H40" s="68" t="s">
        <v>2</v>
      </c>
      <c r="I40" s="68"/>
      <c r="J40" s="68"/>
      <c r="K40" s="68"/>
      <c r="L40" s="38"/>
      <c r="M40" s="38"/>
      <c r="N40" s="38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9"/>
    </row>
    <row r="41" spans="2:26" x14ac:dyDescent="0.3">
      <c r="B41" s="62" t="s">
        <v>7</v>
      </c>
      <c r="C41" s="63"/>
      <c r="D41" s="11"/>
      <c r="E41" s="11"/>
      <c r="F41" s="11"/>
      <c r="G41" s="11"/>
      <c r="H41" s="69"/>
      <c r="I41" s="69"/>
      <c r="J41" s="69"/>
      <c r="K41" s="69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30"/>
    </row>
    <row r="42" spans="2:26" x14ac:dyDescent="0.3">
      <c r="B42" s="62">
        <f>SUM(E42:V47)</f>
        <v>180510</v>
      </c>
      <c r="C42" s="63"/>
      <c r="D42" s="11">
        <v>2600</v>
      </c>
      <c r="E42" s="11">
        <v>9900</v>
      </c>
      <c r="F42" s="11">
        <v>8510</v>
      </c>
      <c r="G42" s="11">
        <v>7880</v>
      </c>
      <c r="H42" s="11">
        <v>7550</v>
      </c>
      <c r="I42" s="11">
        <v>7030</v>
      </c>
      <c r="J42" s="11">
        <v>7010</v>
      </c>
      <c r="K42" s="11">
        <v>7010</v>
      </c>
      <c r="L42" s="11">
        <v>6830</v>
      </c>
      <c r="M42" s="11"/>
      <c r="N42" s="11">
        <v>6000</v>
      </c>
      <c r="O42" s="11">
        <v>5940</v>
      </c>
      <c r="P42" s="11">
        <v>5700</v>
      </c>
      <c r="Q42" s="11">
        <v>5620</v>
      </c>
      <c r="R42" s="11">
        <v>5540</v>
      </c>
      <c r="S42" s="11">
        <v>5460</v>
      </c>
      <c r="T42" s="11">
        <v>5060</v>
      </c>
      <c r="U42" s="11">
        <v>4910</v>
      </c>
      <c r="V42" s="11">
        <v>4680</v>
      </c>
      <c r="W42" s="11"/>
      <c r="X42" s="11"/>
      <c r="Y42" s="11"/>
      <c r="Z42" s="30"/>
    </row>
    <row r="43" spans="2:26" x14ac:dyDescent="0.3">
      <c r="B43" s="62"/>
      <c r="C43" s="63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0"/>
      <c r="X43" s="10"/>
      <c r="Y43" s="11"/>
      <c r="Z43" s="30"/>
    </row>
    <row r="44" spans="2:26" ht="15" thickBot="1" x14ac:dyDescent="0.35">
      <c r="B44" s="62"/>
      <c r="C44" s="63"/>
      <c r="D44" s="11">
        <v>4500</v>
      </c>
      <c r="E44" s="11">
        <v>3910</v>
      </c>
      <c r="F44" s="11">
        <v>3870</v>
      </c>
      <c r="G44" s="11">
        <v>3870</v>
      </c>
      <c r="H44" s="11">
        <v>3680</v>
      </c>
      <c r="I44" s="11"/>
      <c r="J44" s="11">
        <v>3270</v>
      </c>
      <c r="K44" s="11">
        <v>3020</v>
      </c>
      <c r="L44" s="11">
        <v>2990</v>
      </c>
      <c r="M44" s="11"/>
      <c r="N44" s="11">
        <v>2960</v>
      </c>
      <c r="O44" s="11">
        <v>2860</v>
      </c>
      <c r="P44" s="11">
        <v>2820</v>
      </c>
      <c r="Q44" s="11">
        <v>2550</v>
      </c>
      <c r="R44" s="11">
        <v>2100</v>
      </c>
      <c r="S44" s="11">
        <v>2040</v>
      </c>
      <c r="T44" s="11">
        <v>2140</v>
      </c>
      <c r="U44" s="11"/>
      <c r="V44" s="11">
        <v>2010</v>
      </c>
      <c r="W44" s="42">
        <v>1900</v>
      </c>
      <c r="X44" s="31">
        <v>1860</v>
      </c>
      <c r="Y44" s="31">
        <v>1950</v>
      </c>
      <c r="Z44" s="31">
        <v>1820</v>
      </c>
    </row>
    <row r="45" spans="2:26" x14ac:dyDescent="0.3">
      <c r="B45" s="40"/>
      <c r="C45" s="11"/>
      <c r="D45" s="11"/>
      <c r="E45" s="11"/>
      <c r="F45" s="11"/>
      <c r="G45" s="11"/>
      <c r="H45" s="11"/>
      <c r="I45" s="11"/>
      <c r="J45" s="10"/>
      <c r="K45" s="10"/>
      <c r="L45" s="1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0"/>
    </row>
    <row r="46" spans="2:26" ht="15.6" customHeight="1" thickBot="1" x14ac:dyDescent="0.35">
      <c r="B46" s="41"/>
      <c r="C46" s="31"/>
      <c r="D46" s="31">
        <v>1640</v>
      </c>
      <c r="E46" s="31">
        <v>1620</v>
      </c>
      <c r="F46" s="10"/>
      <c r="G46" s="46">
        <v>1580</v>
      </c>
      <c r="H46" s="31">
        <v>2750</v>
      </c>
      <c r="K46" s="31"/>
      <c r="L46" s="31"/>
      <c r="M46" s="42">
        <v>2140</v>
      </c>
      <c r="N46" s="31">
        <v>2830</v>
      </c>
      <c r="O46" s="31">
        <v>2880</v>
      </c>
      <c r="Q46" s="31">
        <v>3130</v>
      </c>
      <c r="R46" s="10"/>
      <c r="S46" s="31">
        <v>2470</v>
      </c>
      <c r="T46" s="31">
        <v>2130</v>
      </c>
      <c r="U46" s="31">
        <v>2130</v>
      </c>
      <c r="V46" s="31">
        <v>2130</v>
      </c>
      <c r="W46" s="10"/>
      <c r="X46" s="31">
        <v>2450</v>
      </c>
      <c r="Y46" s="31">
        <v>1180</v>
      </c>
      <c r="Z46" s="31">
        <v>1180</v>
      </c>
    </row>
    <row r="47" spans="2:26" ht="19.8" customHeight="1" x14ac:dyDescent="0.3">
      <c r="D47" s="10"/>
      <c r="E47" s="10"/>
      <c r="F47" s="10"/>
      <c r="G47" s="10"/>
      <c r="H47" s="10"/>
      <c r="I47" s="10"/>
      <c r="J47" s="10"/>
      <c r="K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2:26" ht="25.2" customHeight="1" x14ac:dyDescent="0.3"/>
    <row r="52" spans="4:16" ht="28.8" x14ac:dyDescent="0.55000000000000004">
      <c r="D52" s="53" t="s">
        <v>3</v>
      </c>
      <c r="E52" s="2"/>
      <c r="F52" s="53">
        <f>SUM(B4:C10)</f>
        <v>252870</v>
      </c>
      <c r="G52" s="53"/>
      <c r="H52" s="53"/>
      <c r="I52" s="2"/>
      <c r="J52" s="2"/>
      <c r="K52" s="53" t="s">
        <v>8</v>
      </c>
      <c r="L52" s="53"/>
      <c r="M52" s="53"/>
      <c r="N52" s="2"/>
      <c r="O52" s="53">
        <f>COUNT(D4:AD11)</f>
        <v>74</v>
      </c>
      <c r="P52" s="53"/>
    </row>
    <row r="53" spans="4:16" ht="28.8" x14ac:dyDescent="0.55000000000000004">
      <c r="D53" s="53"/>
      <c r="E53" s="2"/>
      <c r="F53" s="53"/>
      <c r="G53" s="53"/>
      <c r="H53" s="53"/>
      <c r="I53" s="2"/>
      <c r="J53" s="2"/>
      <c r="K53" s="53"/>
      <c r="L53" s="53"/>
      <c r="M53" s="53"/>
      <c r="N53" s="2"/>
      <c r="O53" s="53"/>
      <c r="P53" s="53"/>
    </row>
    <row r="54" spans="4:16" ht="28.8" x14ac:dyDescent="0.55000000000000004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4:16" ht="20.399999999999999" customHeight="1" x14ac:dyDescent="0.55000000000000004">
      <c r="D55" s="54" t="s">
        <v>4</v>
      </c>
      <c r="E55" s="2"/>
      <c r="F55" s="53">
        <f>SUM(B13:C29)</f>
        <v>166030</v>
      </c>
      <c r="G55" s="53"/>
      <c r="H55" s="53"/>
      <c r="I55" s="2"/>
      <c r="J55" s="2"/>
      <c r="K55" s="53" t="s">
        <v>8</v>
      </c>
      <c r="L55" s="53"/>
      <c r="M55" s="53"/>
      <c r="N55" s="2"/>
      <c r="O55" s="53">
        <f>COUNT(E13:U27)</f>
        <v>110</v>
      </c>
      <c r="P55" s="53"/>
    </row>
    <row r="56" spans="4:16" ht="19.8" customHeight="1" x14ac:dyDescent="0.55000000000000004">
      <c r="D56" s="55"/>
      <c r="E56" s="2"/>
      <c r="F56" s="53"/>
      <c r="G56" s="53"/>
      <c r="H56" s="53"/>
      <c r="I56" s="2"/>
      <c r="J56" s="2"/>
      <c r="K56" s="53"/>
      <c r="L56" s="53"/>
      <c r="M56" s="53"/>
      <c r="N56" s="2"/>
      <c r="O56" s="53"/>
      <c r="P56" s="53"/>
    </row>
    <row r="57" spans="4:16" ht="28.8" x14ac:dyDescent="0.55000000000000004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4:16" ht="28.8" x14ac:dyDescent="0.55000000000000004">
      <c r="D58" s="54" t="s">
        <v>5</v>
      </c>
      <c r="E58" s="2"/>
      <c r="F58" s="64">
        <f>SUM(B34:C37)</f>
        <v>152160</v>
      </c>
      <c r="G58" s="70"/>
      <c r="H58" s="65"/>
      <c r="I58" s="2"/>
      <c r="J58" s="2"/>
      <c r="K58" s="64" t="s">
        <v>8</v>
      </c>
      <c r="L58" s="70"/>
      <c r="M58" s="65"/>
      <c r="N58" s="2"/>
      <c r="O58" s="64">
        <f>COUNT(E34:W38)</f>
        <v>29</v>
      </c>
      <c r="P58" s="65"/>
    </row>
    <row r="59" spans="4:16" ht="28.8" x14ac:dyDescent="0.55000000000000004">
      <c r="D59" s="55"/>
      <c r="E59" s="2"/>
      <c r="F59" s="66"/>
      <c r="G59" s="71"/>
      <c r="H59" s="67"/>
      <c r="I59" s="2"/>
      <c r="J59" s="2"/>
      <c r="K59" s="66"/>
      <c r="L59" s="71"/>
      <c r="M59" s="67"/>
      <c r="N59" s="2"/>
      <c r="O59" s="66"/>
      <c r="P59" s="67"/>
    </row>
    <row r="60" spans="4:16" ht="28.8" x14ac:dyDescent="0.55000000000000004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4:16" ht="28.8" x14ac:dyDescent="0.55000000000000004">
      <c r="D61" s="54" t="s">
        <v>6</v>
      </c>
      <c r="E61" s="2"/>
      <c r="F61" s="64">
        <f>SUM(B42)</f>
        <v>180510</v>
      </c>
      <c r="G61" s="70"/>
      <c r="H61" s="65"/>
      <c r="I61" s="2"/>
      <c r="J61" s="2"/>
      <c r="K61" s="64" t="s">
        <v>8</v>
      </c>
      <c r="L61" s="70"/>
      <c r="M61" s="65"/>
      <c r="N61" s="2"/>
      <c r="O61" s="64">
        <f>COUNT(E42:T47)</f>
        <v>38</v>
      </c>
      <c r="P61" s="65"/>
    </row>
    <row r="62" spans="4:16" ht="28.8" x14ac:dyDescent="0.55000000000000004">
      <c r="D62" s="55"/>
      <c r="E62" s="2"/>
      <c r="F62" s="66"/>
      <c r="G62" s="71"/>
      <c r="H62" s="67"/>
      <c r="I62" s="2"/>
      <c r="J62" s="2"/>
      <c r="K62" s="66"/>
      <c r="L62" s="71"/>
      <c r="M62" s="67"/>
      <c r="N62" s="2"/>
      <c r="O62" s="66"/>
      <c r="P62" s="67"/>
    </row>
    <row r="64" spans="4:16" ht="15" thickBot="1" x14ac:dyDescent="0.35"/>
    <row r="65" spans="5:14" x14ac:dyDescent="0.3">
      <c r="E65" s="84" t="s">
        <v>12</v>
      </c>
      <c r="F65" s="85"/>
      <c r="G65" s="85"/>
      <c r="H65" s="86"/>
      <c r="K65" s="84" t="s">
        <v>15</v>
      </c>
      <c r="L65" s="85"/>
      <c r="M65" s="85"/>
      <c r="N65" s="86"/>
    </row>
    <row r="66" spans="5:14" x14ac:dyDescent="0.3">
      <c r="E66" s="87" t="s">
        <v>11</v>
      </c>
      <c r="F66" s="88"/>
      <c r="G66" s="88"/>
      <c r="H66" s="89"/>
      <c r="K66" s="87" t="s">
        <v>11</v>
      </c>
      <c r="L66" s="88"/>
      <c r="M66" s="88"/>
      <c r="N66" s="89"/>
    </row>
    <row r="67" spans="5:14" x14ac:dyDescent="0.3">
      <c r="E67" s="12">
        <v>4020</v>
      </c>
      <c r="F67" s="6" t="s">
        <v>3</v>
      </c>
      <c r="G67" s="88" t="s">
        <v>13</v>
      </c>
      <c r="H67" s="89"/>
      <c r="K67" s="18">
        <v>1170</v>
      </c>
      <c r="L67" s="6" t="s">
        <v>16</v>
      </c>
    </row>
    <row r="68" spans="5:14" x14ac:dyDescent="0.3">
      <c r="E68" s="12">
        <v>1150</v>
      </c>
      <c r="F68" s="6" t="s">
        <v>14</v>
      </c>
      <c r="G68" s="6"/>
      <c r="H68" s="13"/>
      <c r="K68" s="18">
        <v>1570</v>
      </c>
      <c r="L68" s="6" t="s">
        <v>14</v>
      </c>
      <c r="M68" s="6"/>
      <c r="N68" s="13"/>
    </row>
    <row r="69" spans="5:14" x14ac:dyDescent="0.3">
      <c r="E69" s="14"/>
      <c r="F69" s="5"/>
      <c r="G69" s="5"/>
      <c r="H69" s="13"/>
      <c r="K69" s="14"/>
      <c r="L69" s="5"/>
      <c r="M69" s="5"/>
      <c r="N69" s="13"/>
    </row>
    <row r="70" spans="5:14" x14ac:dyDescent="0.3">
      <c r="E70" s="81" t="s">
        <v>17</v>
      </c>
      <c r="F70" s="82"/>
      <c r="G70" s="82"/>
      <c r="H70" s="83"/>
      <c r="K70" s="14"/>
      <c r="L70" s="5"/>
      <c r="M70" s="5"/>
      <c r="N70" s="13"/>
    </row>
    <row r="71" spans="5:14" x14ac:dyDescent="0.3">
      <c r="E71" s="19">
        <v>1080</v>
      </c>
      <c r="F71" s="5" t="s">
        <v>18</v>
      </c>
      <c r="G71" s="5"/>
      <c r="H71" s="13"/>
      <c r="K71" s="14"/>
      <c r="L71" s="5"/>
      <c r="M71" s="5"/>
      <c r="N71" s="13"/>
    </row>
    <row r="72" spans="5:14" x14ac:dyDescent="0.3">
      <c r="E72" s="81" t="s">
        <v>19</v>
      </c>
      <c r="F72" s="82"/>
      <c r="G72" s="82"/>
      <c r="H72" s="83"/>
      <c r="K72" s="14"/>
      <c r="L72" s="5"/>
      <c r="M72" s="5"/>
      <c r="N72" s="13"/>
    </row>
    <row r="73" spans="5:14" x14ac:dyDescent="0.3">
      <c r="E73" s="14"/>
      <c r="F73" s="5"/>
      <c r="G73" s="5"/>
      <c r="H73" s="13"/>
      <c r="K73" s="14"/>
      <c r="L73" s="5"/>
      <c r="M73" s="5"/>
      <c r="N73" s="13"/>
    </row>
    <row r="74" spans="5:14" ht="15" thickBot="1" x14ac:dyDescent="0.35">
      <c r="E74" s="15"/>
      <c r="F74" s="16"/>
      <c r="G74" s="16"/>
      <c r="H74" s="17"/>
      <c r="K74" s="15"/>
      <c r="L74" s="16"/>
      <c r="M74" s="16"/>
      <c r="N74" s="17"/>
    </row>
  </sheetData>
  <mergeCells count="64">
    <mergeCell ref="E72:H72"/>
    <mergeCell ref="E70:H70"/>
    <mergeCell ref="K65:N65"/>
    <mergeCell ref="K66:N66"/>
    <mergeCell ref="G67:H67"/>
    <mergeCell ref="E65:H65"/>
    <mergeCell ref="E66:H66"/>
    <mergeCell ref="AA4:AB4"/>
    <mergeCell ref="B11:C11"/>
    <mergeCell ref="B6:C6"/>
    <mergeCell ref="B7:C7"/>
    <mergeCell ref="B4:C4"/>
    <mergeCell ref="B3:C3"/>
    <mergeCell ref="B39:C39"/>
    <mergeCell ref="B40:C40"/>
    <mergeCell ref="B31:C31"/>
    <mergeCell ref="B32:C32"/>
    <mergeCell ref="B33:C33"/>
    <mergeCell ref="B34:C34"/>
    <mergeCell ref="B36:C36"/>
    <mergeCell ref="B30:C30"/>
    <mergeCell ref="B27:C27"/>
    <mergeCell ref="B29:C29"/>
    <mergeCell ref="B25:C25"/>
    <mergeCell ref="B26:C26"/>
    <mergeCell ref="B8:C8"/>
    <mergeCell ref="B9:C9"/>
    <mergeCell ref="B10:C10"/>
    <mergeCell ref="O61:P62"/>
    <mergeCell ref="O58:P59"/>
    <mergeCell ref="K52:M53"/>
    <mergeCell ref="K55:M56"/>
    <mergeCell ref="H31:K32"/>
    <mergeCell ref="H40:K41"/>
    <mergeCell ref="O55:P56"/>
    <mergeCell ref="O52:P53"/>
    <mergeCell ref="F52:H53"/>
    <mergeCell ref="F55:H56"/>
    <mergeCell ref="F58:H59"/>
    <mergeCell ref="K58:M59"/>
    <mergeCell ref="F61:H62"/>
    <mergeCell ref="K61:M62"/>
    <mergeCell ref="D52:D53"/>
    <mergeCell ref="D55:D56"/>
    <mergeCell ref="B41:C41"/>
    <mergeCell ref="B42:C42"/>
    <mergeCell ref="B43:C43"/>
    <mergeCell ref="B44:C44"/>
    <mergeCell ref="I2:M3"/>
    <mergeCell ref="D58:D59"/>
    <mergeCell ref="D61:D62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dcterms:created xsi:type="dcterms:W3CDTF">2025-09-08T13:00:51Z</dcterms:created>
  <dcterms:modified xsi:type="dcterms:W3CDTF">2026-05-20T06:51:52Z</dcterms:modified>
</cp:coreProperties>
</file>